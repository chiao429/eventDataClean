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/Downloads/"/>
    </mc:Choice>
  </mc:AlternateContent>
  <xr:revisionPtr revIDLastSave="0" documentId="13_ncr:1_{24488CB9-F9AD-404A-B706-DD097ED917DF}" xr6:coauthVersionLast="47" xr6:coauthVersionMax="47" xr10:uidLastSave="{00000000-0000-0000-0000-000000000000}"/>
  <bookViews>
    <workbookView xWindow="0" yWindow="760" windowWidth="30240" windowHeight="17660" activeTab="2" xr2:uid="{00000000-000D-0000-FFFF-FFFF00000000}"/>
  </bookViews>
  <sheets>
    <sheet name="總表" sheetId="1" r:id="rId1"/>
    <sheet name="學齡前" sheetId="2" r:id="rId2"/>
    <sheet name="一年級" sheetId="3" r:id="rId3"/>
    <sheet name="二年級" sheetId="4" r:id="rId4"/>
    <sheet name="三年級" sheetId="5" r:id="rId5"/>
    <sheet name="四年級" sheetId="6" r:id="rId6"/>
    <sheet name="五年級" sheetId="7" r:id="rId7"/>
    <sheet name="六年級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4" i="1" l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<sst xmlns="http://schemas.openxmlformats.org/spreadsheetml/2006/main" count="4551" uniqueCount="1019">
  <si>
    <t>項次</t>
  </si>
  <si>
    <t>小隊</t>
  </si>
  <si>
    <t>報名序號</t>
  </si>
  <si>
    <t>兒童姓名</t>
  </si>
  <si>
    <t>性別</t>
  </si>
  <si>
    <t>年級</t>
  </si>
  <si>
    <t>學校</t>
  </si>
  <si>
    <t>家長姓名</t>
  </si>
  <si>
    <t>家長行動電話</t>
  </si>
  <si>
    <t>備註</t>
  </si>
  <si>
    <t>尚未繳費</t>
  </si>
  <si>
    <t>黃敬耘</t>
  </si>
  <si>
    <t>男</t>
  </si>
  <si>
    <t>四年級</t>
  </si>
  <si>
    <t>民和國小</t>
  </si>
  <si>
    <t>呂惠加</t>
  </si>
  <si>
    <t>0986333249</t>
  </si>
  <si>
    <t/>
  </si>
  <si>
    <t>徐嘉佑</t>
  </si>
  <si>
    <t>一年級</t>
  </si>
  <si>
    <t>復興國小</t>
  </si>
  <si>
    <t>徐育筠</t>
  </si>
  <si>
    <t>0905105149</t>
  </si>
  <si>
    <t>黃靖洧</t>
  </si>
  <si>
    <t>公館國小</t>
  </si>
  <si>
    <t>王碧的</t>
  </si>
  <si>
    <t>0981101342</t>
  </si>
  <si>
    <t>黃允恩</t>
  </si>
  <si>
    <t>中班</t>
  </si>
  <si>
    <t>美金</t>
  </si>
  <si>
    <t>彭浩羽</t>
  </si>
  <si>
    <t>0978715445</t>
  </si>
  <si>
    <t>希望可以跟可蓉可澍同一個小隊</t>
  </si>
  <si>
    <t>吳俞萱</t>
  </si>
  <si>
    <t>女</t>
  </si>
  <si>
    <t>大班</t>
  </si>
  <si>
    <t>小魟魚幼稚園</t>
  </si>
  <si>
    <t>蔡敏真</t>
  </si>
  <si>
    <t>0963657598</t>
  </si>
  <si>
    <t>陳立恆</t>
  </si>
  <si>
    <t>九如國小</t>
  </si>
  <si>
    <t>施玉華</t>
  </si>
  <si>
    <t>0962002242</t>
  </si>
  <si>
    <t>陳品妍</t>
  </si>
  <si>
    <t>育英幼兒園</t>
  </si>
  <si>
    <t>薛閔倫</t>
  </si>
  <si>
    <t>三年級</t>
  </si>
  <si>
    <t>瑞光國小</t>
  </si>
  <si>
    <t>顏慈</t>
  </si>
  <si>
    <t>0987629751</t>
  </si>
  <si>
    <t>李允斌</t>
  </si>
  <si>
    <t>大成</t>
  </si>
  <si>
    <t>李圻宏</t>
  </si>
  <si>
    <t>0931353168</t>
  </si>
  <si>
    <t>邱彥綸</t>
  </si>
  <si>
    <t>二年級</t>
  </si>
  <si>
    <t>豐田國小</t>
  </si>
  <si>
    <t>李秀芳</t>
  </si>
  <si>
    <t>0983255801</t>
  </si>
  <si>
    <t>邱亮瑜</t>
  </si>
  <si>
    <t>五年級</t>
  </si>
  <si>
    <t>謝沅希</t>
  </si>
  <si>
    <t>大社幼兒園</t>
  </si>
  <si>
    <t>謝瑩霖</t>
  </si>
  <si>
    <t>0928032789</t>
  </si>
  <si>
    <t>史威廉</t>
  </si>
  <si>
    <t>六年級</t>
  </si>
  <si>
    <t>民和</t>
  </si>
  <si>
    <t>史碩薇</t>
  </si>
  <si>
    <t>0911991275</t>
  </si>
  <si>
    <t>史班哲明</t>
  </si>
  <si>
    <t>盧瑄彤</t>
  </si>
  <si>
    <t>小班</t>
  </si>
  <si>
    <t>大同國小附幼</t>
  </si>
  <si>
    <t>潘姸禎</t>
  </si>
  <si>
    <t>0963678287</t>
  </si>
  <si>
    <t>陳宇瀚</t>
  </si>
  <si>
    <t>維多利亞幼兒園</t>
  </si>
  <si>
    <t>李宜靜</t>
  </si>
  <si>
    <t>0980521240</t>
  </si>
  <si>
    <t>曾楷甯</t>
  </si>
  <si>
    <t>劉怡彣</t>
  </si>
  <si>
    <t>0915582669</t>
  </si>
  <si>
    <t>劉宣葳</t>
  </si>
  <si>
    <t>學正幼兒園</t>
  </si>
  <si>
    <t>邱意茹</t>
  </si>
  <si>
    <t>0927690649</t>
  </si>
  <si>
    <t>胡軒萓</t>
  </si>
  <si>
    <t>和平國小</t>
  </si>
  <si>
    <t>蕭翔憶</t>
  </si>
  <si>
    <t>0934050640</t>
  </si>
  <si>
    <t>胡恩瑜</t>
  </si>
  <si>
    <t>莊晴甯</t>
  </si>
  <si>
    <t>潮昇國小</t>
  </si>
  <si>
    <t>田蕙雯</t>
  </si>
  <si>
    <t>0938049773</t>
  </si>
  <si>
    <t>鍾予棋</t>
  </si>
  <si>
    <t>張勻傑</t>
  </si>
  <si>
    <t>中正國小</t>
  </si>
  <si>
    <t>林淑莉</t>
  </si>
  <si>
    <t>0986229217</t>
  </si>
  <si>
    <t>林宥均</t>
  </si>
  <si>
    <t>高雄文山國小</t>
  </si>
  <si>
    <t>黃靖雯</t>
  </si>
  <si>
    <t>0980388563</t>
  </si>
  <si>
    <t>李可美</t>
  </si>
  <si>
    <t>美金幼兒園</t>
  </si>
  <si>
    <t>李麗君</t>
  </si>
  <si>
    <t>0938787150</t>
  </si>
  <si>
    <t>涂芳碩</t>
  </si>
  <si>
    <t>新圍國小</t>
  </si>
  <si>
    <t>王佳育</t>
  </si>
  <si>
    <t>0903235779</t>
  </si>
  <si>
    <t>涂恩熙</t>
  </si>
  <si>
    <t>陳愉恩</t>
  </si>
  <si>
    <t>陳孟陽</t>
  </si>
  <si>
    <t>0926098287</t>
  </si>
  <si>
    <t>謝沐芩</t>
  </si>
  <si>
    <t>張巧樺</t>
  </si>
  <si>
    <t>0988031862</t>
  </si>
  <si>
    <t>陳佑慶</t>
  </si>
  <si>
    <t>李嘉容</t>
  </si>
  <si>
    <t>0976680986</t>
  </si>
  <si>
    <t>林恩槿</t>
  </si>
  <si>
    <t>孫珮珊</t>
  </si>
  <si>
    <t>0988209330</t>
  </si>
  <si>
    <t>林柏澔</t>
  </si>
  <si>
    <t>仁愛國小</t>
  </si>
  <si>
    <t>陳誼萱</t>
  </si>
  <si>
    <t>001</t>
  </si>
  <si>
    <t>洪榮典</t>
  </si>
  <si>
    <t>勝利國小</t>
  </si>
  <si>
    <t>郭尹齡</t>
  </si>
  <si>
    <t>0919121400</t>
  </si>
  <si>
    <t>002</t>
  </si>
  <si>
    <t>蕭可蓉</t>
  </si>
  <si>
    <t>鍾幸璉</t>
  </si>
  <si>
    <t>0911811127</t>
  </si>
  <si>
    <t>003</t>
  </si>
  <si>
    <t>蕭可澍</t>
  </si>
  <si>
    <t>跟蕭可蓉姐姐排在同一組，謝謝</t>
  </si>
  <si>
    <t>004</t>
  </si>
  <si>
    <t>張旭辰</t>
  </si>
  <si>
    <t>王玫瑜</t>
  </si>
  <si>
    <t>0987151634</t>
  </si>
  <si>
    <t>006</t>
  </si>
  <si>
    <t>翁煦宥</t>
  </si>
  <si>
    <t>大同國小</t>
  </si>
  <si>
    <t>翁梵偉</t>
  </si>
  <si>
    <t>0933684116</t>
  </si>
  <si>
    <t>007</t>
  </si>
  <si>
    <t>蔡侑宸</t>
  </si>
  <si>
    <t>公館</t>
  </si>
  <si>
    <t>林姵穎</t>
  </si>
  <si>
    <t>0981253528</t>
  </si>
  <si>
    <t>009</t>
  </si>
  <si>
    <t>盧宗晟</t>
  </si>
  <si>
    <t>崇蘭國小</t>
  </si>
  <si>
    <t>盧慧萍</t>
  </si>
  <si>
    <t>0968139955</t>
  </si>
  <si>
    <t>010</t>
  </si>
  <si>
    <t>盧婷鈺</t>
  </si>
  <si>
    <t>014</t>
  </si>
  <si>
    <t>林忻儀</t>
  </si>
  <si>
    <t>陳芊榆</t>
  </si>
  <si>
    <t>0981111559</t>
  </si>
  <si>
    <t>015</t>
  </si>
  <si>
    <t>吳軒</t>
  </si>
  <si>
    <t>喬智幼兒園</t>
  </si>
  <si>
    <t>吳尚靜</t>
  </si>
  <si>
    <t>0989804214</t>
  </si>
  <si>
    <t>016</t>
  </si>
  <si>
    <t>龍宥廷</t>
  </si>
  <si>
    <t>里港國小</t>
  </si>
  <si>
    <t>017</t>
  </si>
  <si>
    <t>賴柏愷</t>
  </si>
  <si>
    <t>麟洛國小</t>
  </si>
  <si>
    <t>邱惠靖</t>
  </si>
  <si>
    <t>0989315584</t>
  </si>
  <si>
    <t>018</t>
  </si>
  <si>
    <t>陳加宸</t>
  </si>
  <si>
    <t>賴玉梅</t>
  </si>
  <si>
    <t>0917669683</t>
  </si>
  <si>
    <t>021</t>
  </si>
  <si>
    <t>溫新</t>
  </si>
  <si>
    <t>建國國小</t>
  </si>
  <si>
    <t>傅佩真</t>
  </si>
  <si>
    <t>0953871262</t>
  </si>
  <si>
    <t>022</t>
  </si>
  <si>
    <t>溫河</t>
  </si>
  <si>
    <t>023</t>
  </si>
  <si>
    <t>溫柔知</t>
  </si>
  <si>
    <t>建國附幼</t>
  </si>
  <si>
    <t>024</t>
  </si>
  <si>
    <t>許雯茜</t>
  </si>
  <si>
    <t>瓦磘</t>
  </si>
  <si>
    <t>沈書帆</t>
  </si>
  <si>
    <t>0907094477</t>
  </si>
  <si>
    <t>025</t>
  </si>
  <si>
    <t>許雅涵</t>
  </si>
  <si>
    <t>026</t>
  </si>
  <si>
    <t>張慕恩</t>
  </si>
  <si>
    <t>幼愛幼兒園</t>
  </si>
  <si>
    <t>蔡榆彤</t>
  </si>
  <si>
    <t>0963003941</t>
  </si>
  <si>
    <t>027</t>
  </si>
  <si>
    <t>許茗丞</t>
  </si>
  <si>
    <t>復興非營利幼兒園</t>
  </si>
  <si>
    <t>劉俐伶</t>
  </si>
  <si>
    <t>0928748081</t>
  </si>
  <si>
    <t>028</t>
  </si>
  <si>
    <t>徐晨心</t>
  </si>
  <si>
    <t>屏科實中國小部</t>
  </si>
  <si>
    <t>顏上慈</t>
  </si>
  <si>
    <t>0923628545</t>
  </si>
  <si>
    <t>029</t>
  </si>
  <si>
    <t>徐晨睿</t>
  </si>
  <si>
    <t>030</t>
  </si>
  <si>
    <t>王芷伶</t>
  </si>
  <si>
    <t>東興國小</t>
  </si>
  <si>
    <t>蘇婉菱</t>
  </si>
  <si>
    <t>0933633915</t>
  </si>
  <si>
    <t>031</t>
  </si>
  <si>
    <t>王品宥</t>
  </si>
  <si>
    <t>三朋幼兒園</t>
  </si>
  <si>
    <t>032</t>
  </si>
  <si>
    <t>山語宸</t>
  </si>
  <si>
    <t>潮州鎮立幼兒園</t>
  </si>
  <si>
    <t>黃羿禎</t>
  </si>
  <si>
    <t>0966342393</t>
  </si>
  <si>
    <t>033</t>
  </si>
  <si>
    <t>山語沁</t>
  </si>
  <si>
    <t>034</t>
  </si>
  <si>
    <t>郭凱森</t>
  </si>
  <si>
    <t>林盈吟</t>
  </si>
  <si>
    <t>0929062826</t>
  </si>
  <si>
    <t>035</t>
  </si>
  <si>
    <t>洪浚睿</t>
  </si>
  <si>
    <t>何珮瑜</t>
  </si>
  <si>
    <t>0982787014</t>
  </si>
  <si>
    <t>036</t>
  </si>
  <si>
    <t>潘亮同</t>
  </si>
  <si>
    <t>中華兒童</t>
  </si>
  <si>
    <t>簡宇瑄</t>
  </si>
  <si>
    <t>0919399419</t>
  </si>
  <si>
    <t>037</t>
  </si>
  <si>
    <t>林伃柔</t>
  </si>
  <si>
    <t>王倩雯</t>
  </si>
  <si>
    <t>0978607885</t>
  </si>
  <si>
    <t>038</t>
  </si>
  <si>
    <t>許凱宸</t>
  </si>
  <si>
    <t>大同附幼</t>
  </si>
  <si>
    <t>黃于庭</t>
  </si>
  <si>
    <t>0927113520</t>
  </si>
  <si>
    <t>039</t>
  </si>
  <si>
    <t>陳奕縉</t>
  </si>
  <si>
    <t>道明</t>
  </si>
  <si>
    <t>樊家怡</t>
  </si>
  <si>
    <t>0972161068</t>
  </si>
  <si>
    <t>040</t>
  </si>
  <si>
    <t>洪暄晴</t>
  </si>
  <si>
    <t>小哈佛</t>
  </si>
  <si>
    <t>洪憶雯</t>
  </si>
  <si>
    <t>0956083673</t>
  </si>
  <si>
    <t>041</t>
  </si>
  <si>
    <t>洪胤齊</t>
  </si>
  <si>
    <t>042</t>
  </si>
  <si>
    <t>吳語喬</t>
  </si>
  <si>
    <t>美加</t>
  </si>
  <si>
    <t>黃雙燕</t>
  </si>
  <si>
    <t>0915603795</t>
  </si>
  <si>
    <t>043</t>
  </si>
  <si>
    <t>高心</t>
  </si>
  <si>
    <t>林慧珊</t>
  </si>
  <si>
    <t>0989348974</t>
  </si>
  <si>
    <t>044</t>
  </si>
  <si>
    <t>高樂</t>
  </si>
  <si>
    <t>045</t>
  </si>
  <si>
    <t>高愛</t>
  </si>
  <si>
    <t>要跟可澍同一隊</t>
  </si>
  <si>
    <t>046</t>
  </si>
  <si>
    <t>鄭詩縈</t>
  </si>
  <si>
    <t>林杉</t>
  </si>
  <si>
    <t>0976220378</t>
  </si>
  <si>
    <t>要跟高心同隊</t>
  </si>
  <si>
    <t>047</t>
  </si>
  <si>
    <t>鄭暐勳</t>
  </si>
  <si>
    <t>要跟高樂同隊</t>
  </si>
  <si>
    <t>048</t>
  </si>
  <si>
    <t>鄭湘霓</t>
  </si>
  <si>
    <t>049</t>
  </si>
  <si>
    <t>顏琬悅</t>
  </si>
  <si>
    <t>劉美辰</t>
  </si>
  <si>
    <t>0926387370</t>
  </si>
  <si>
    <t>與高樂同一隊</t>
  </si>
  <si>
    <t>050</t>
  </si>
  <si>
    <t>顏寧悅</t>
  </si>
  <si>
    <t>崇蘭</t>
  </si>
  <si>
    <t>051</t>
  </si>
  <si>
    <t>陳琦恩</t>
  </si>
  <si>
    <t>黃雅慧</t>
  </si>
  <si>
    <t>0977234604</t>
  </si>
  <si>
    <t>要跟高愛同一隊</t>
  </si>
  <si>
    <t>052</t>
  </si>
  <si>
    <t>陳倍恩</t>
  </si>
  <si>
    <t>053</t>
  </si>
  <si>
    <t>蕭亦圻</t>
  </si>
  <si>
    <t>黃怡禎</t>
  </si>
  <si>
    <t>0916011129</t>
  </si>
  <si>
    <t>054</t>
  </si>
  <si>
    <t>蕭正得</t>
  </si>
  <si>
    <t>055</t>
  </si>
  <si>
    <t>徐子芮</t>
  </si>
  <si>
    <t>徐慶仁</t>
  </si>
  <si>
    <t>0955874956</t>
  </si>
  <si>
    <t>056</t>
  </si>
  <si>
    <t>徐可芯</t>
  </si>
  <si>
    <t>057</t>
  </si>
  <si>
    <t>鄭宇喬</t>
  </si>
  <si>
    <t>鄭毓優</t>
  </si>
  <si>
    <t>0980528098</t>
  </si>
  <si>
    <t>058</t>
  </si>
  <si>
    <t>李和芝</t>
  </si>
  <si>
    <t>長興國小</t>
  </si>
  <si>
    <t>李承霖</t>
  </si>
  <si>
    <t>0926192521</t>
  </si>
  <si>
    <t>059</t>
  </si>
  <si>
    <t>林莞宸</t>
  </si>
  <si>
    <t>私立屏東培正幼兒園</t>
  </si>
  <si>
    <t>林姵君</t>
  </si>
  <si>
    <t>0960398399</t>
  </si>
  <si>
    <t>060</t>
  </si>
  <si>
    <t>林莞夏</t>
  </si>
  <si>
    <t>061</t>
  </si>
  <si>
    <t>趙語曦</t>
  </si>
  <si>
    <t>吳玟璇</t>
  </si>
  <si>
    <t>0939523219</t>
  </si>
  <si>
    <t>062</t>
  </si>
  <si>
    <t>陳詠晴（姊）</t>
  </si>
  <si>
    <t>薛侑倫</t>
  </si>
  <si>
    <t>0975520550</t>
  </si>
  <si>
    <t>063</t>
  </si>
  <si>
    <t>鄭宇翔</t>
  </si>
  <si>
    <t>徐佳琪</t>
  </si>
  <si>
    <t>0938563805</t>
  </si>
  <si>
    <t>064</t>
  </si>
  <si>
    <t>鄭丞淏</t>
  </si>
  <si>
    <t>龍華幼兒園</t>
  </si>
  <si>
    <t>065</t>
  </si>
  <si>
    <t>余羿陞</t>
  </si>
  <si>
    <t>洪悅齡</t>
  </si>
  <si>
    <t>0978686287</t>
  </si>
  <si>
    <t>067</t>
  </si>
  <si>
    <t>劉奕輝</t>
  </si>
  <si>
    <t>陳靜媛</t>
  </si>
  <si>
    <t>0919124456</t>
  </si>
  <si>
    <t>068</t>
  </si>
  <si>
    <t>李杰恩</t>
  </si>
  <si>
    <t>李倩蓉</t>
  </si>
  <si>
    <t>0981216626</t>
  </si>
  <si>
    <t>069</t>
  </si>
  <si>
    <t>李哲宇</t>
  </si>
  <si>
    <t>070</t>
  </si>
  <si>
    <t>李知穎</t>
  </si>
  <si>
    <t>072</t>
  </si>
  <si>
    <t>林道維</t>
  </si>
  <si>
    <t>林明龍</t>
  </si>
  <si>
    <t>0925199315</t>
  </si>
  <si>
    <t>073</t>
  </si>
  <si>
    <t>林彥辰</t>
  </si>
  <si>
    <t>屏榮幼兒園</t>
  </si>
  <si>
    <t>074</t>
  </si>
  <si>
    <t>陳語涵</t>
  </si>
  <si>
    <t>鍾珮如</t>
  </si>
  <si>
    <t>0981150582</t>
  </si>
  <si>
    <t>075</t>
  </si>
  <si>
    <t>陳柏軒</t>
  </si>
  <si>
    <t>076</t>
  </si>
  <si>
    <t>魏敬軒</t>
  </si>
  <si>
    <t>屏榮</t>
  </si>
  <si>
    <t>劉奕婷</t>
  </si>
  <si>
    <t>0966728325</t>
  </si>
  <si>
    <t>077</t>
  </si>
  <si>
    <t>魏妍娜</t>
  </si>
  <si>
    <t>078</t>
  </si>
  <si>
    <t>黃可芯</t>
  </si>
  <si>
    <t>高曼琳</t>
  </si>
  <si>
    <t>0925813118</t>
  </si>
  <si>
    <t>079</t>
  </si>
  <si>
    <t>黃可芮</t>
  </si>
  <si>
    <t>香潭幼兒園</t>
  </si>
  <si>
    <t>080</t>
  </si>
  <si>
    <t>陳可芯</t>
  </si>
  <si>
    <t>蔡靜玲</t>
  </si>
  <si>
    <t>0925176902</t>
  </si>
  <si>
    <t>081</t>
  </si>
  <si>
    <t>陳宥妘</t>
  </si>
  <si>
    <t>華山幼兒園</t>
  </si>
  <si>
    <t>082</t>
  </si>
  <si>
    <t>鍾宇昌</t>
  </si>
  <si>
    <t>龍幼</t>
  </si>
  <si>
    <t>黃佳惠</t>
  </si>
  <si>
    <t>0938677852</t>
  </si>
  <si>
    <t>083</t>
  </si>
  <si>
    <t>鍾宇安</t>
  </si>
  <si>
    <t>084</t>
  </si>
  <si>
    <t>王敦右</t>
  </si>
  <si>
    <t>孫韻甯</t>
  </si>
  <si>
    <t>0989778585</t>
  </si>
  <si>
    <t>085</t>
  </si>
  <si>
    <t>蔡逸駿</t>
  </si>
  <si>
    <t>戴玉貞</t>
  </si>
  <si>
    <t>0929615941</t>
  </si>
  <si>
    <t>086</t>
  </si>
  <si>
    <t>蔡振坤</t>
  </si>
  <si>
    <t>長興非營利幼兒園</t>
  </si>
  <si>
    <t>087</t>
  </si>
  <si>
    <t>趙睦然</t>
  </si>
  <si>
    <t>未就學</t>
  </si>
  <si>
    <t>無</t>
  </si>
  <si>
    <t>李誌倩</t>
  </si>
  <si>
    <t>0919879432</t>
  </si>
  <si>
    <t>088</t>
  </si>
  <si>
    <t>楊鎧婍</t>
  </si>
  <si>
    <t>九如幼兒園</t>
  </si>
  <si>
    <t>莊薏靜</t>
  </si>
  <si>
    <t>0986032669</t>
  </si>
  <si>
    <t>089</t>
  </si>
  <si>
    <t>戴永漢</t>
  </si>
  <si>
    <t>塔樓國小</t>
  </si>
  <si>
    <t>楊惠婷</t>
  </si>
  <si>
    <t>0989291843</t>
  </si>
  <si>
    <t>093</t>
  </si>
  <si>
    <t>郭宥鑫</t>
  </si>
  <si>
    <t>曾小娟</t>
  </si>
  <si>
    <t>0912799997</t>
  </si>
  <si>
    <t>094</t>
  </si>
  <si>
    <t>邱苡棠</t>
  </si>
  <si>
    <t>林家榛</t>
  </si>
  <si>
    <t>0983666783</t>
  </si>
  <si>
    <t>096</t>
  </si>
  <si>
    <t>葉仲恆</t>
  </si>
  <si>
    <t>後庄國小</t>
  </si>
  <si>
    <t>張素雯</t>
  </si>
  <si>
    <t>0988158373</t>
  </si>
  <si>
    <t>097</t>
  </si>
  <si>
    <t>李箴忻</t>
  </si>
  <si>
    <t>民生國小</t>
  </si>
  <si>
    <t>李協倉</t>
  </si>
  <si>
    <t>0960773344</t>
  </si>
  <si>
    <t>098</t>
  </si>
  <si>
    <t>陳咏妍</t>
  </si>
  <si>
    <t>黃瓊瑩</t>
  </si>
  <si>
    <t>0929376298</t>
  </si>
  <si>
    <t>099</t>
  </si>
  <si>
    <t>陳治勳</t>
  </si>
  <si>
    <t>建國</t>
  </si>
  <si>
    <t>林瑜蔚</t>
  </si>
  <si>
    <t>0920897187</t>
  </si>
  <si>
    <t>100</t>
  </si>
  <si>
    <t>陳右軒</t>
  </si>
  <si>
    <t>101</t>
  </si>
  <si>
    <t>簡家晨</t>
  </si>
  <si>
    <t>周婉婷</t>
  </si>
  <si>
    <t>0989255110</t>
  </si>
  <si>
    <t>102</t>
  </si>
  <si>
    <t>陳苡婕</t>
  </si>
  <si>
    <t>李永仁</t>
  </si>
  <si>
    <t>0938608787</t>
  </si>
  <si>
    <t>103</t>
  </si>
  <si>
    <t>陳苡恩</t>
  </si>
  <si>
    <t>104</t>
  </si>
  <si>
    <t>張睿家</t>
  </si>
  <si>
    <t>大同</t>
  </si>
  <si>
    <t>洪雅婷</t>
  </si>
  <si>
    <t>0925999304</t>
  </si>
  <si>
    <t>105</t>
  </si>
  <si>
    <t>張睿宇</t>
  </si>
  <si>
    <t>106</t>
  </si>
  <si>
    <t>陳可芯（一）</t>
  </si>
  <si>
    <t>陳雯雯</t>
  </si>
  <si>
    <t>0970645045</t>
  </si>
  <si>
    <t>107</t>
  </si>
  <si>
    <t>陳詠晴</t>
  </si>
  <si>
    <t>108</t>
  </si>
  <si>
    <t>陳芸莉</t>
  </si>
  <si>
    <t>丁文婷</t>
  </si>
  <si>
    <t>0930120060</t>
  </si>
  <si>
    <t>109</t>
  </si>
  <si>
    <t>陳政綸</t>
  </si>
  <si>
    <t>110</t>
  </si>
  <si>
    <t>鄒語涵</t>
  </si>
  <si>
    <t>竹田國小</t>
  </si>
  <si>
    <t>丁文雅</t>
  </si>
  <si>
    <t>0928490454</t>
  </si>
  <si>
    <t>111</t>
  </si>
  <si>
    <t>鄒瑀芯</t>
  </si>
  <si>
    <t>112</t>
  </si>
  <si>
    <t>黃敏傑</t>
  </si>
  <si>
    <t>陽明國小</t>
  </si>
  <si>
    <t>伍勁燁</t>
  </si>
  <si>
    <t>0956753399</t>
  </si>
  <si>
    <t>113</t>
  </si>
  <si>
    <t>蘇宥萱</t>
  </si>
  <si>
    <t>萬丹國小</t>
  </si>
  <si>
    <t>陳惠慈</t>
  </si>
  <si>
    <t>0955134115</t>
  </si>
  <si>
    <t>114</t>
  </si>
  <si>
    <t>蘇宥榛</t>
  </si>
  <si>
    <t>萬丹附幼</t>
  </si>
  <si>
    <t>115</t>
  </si>
  <si>
    <t>陳立勳</t>
  </si>
  <si>
    <t>黃音瑜</t>
  </si>
  <si>
    <t>0917265161</t>
  </si>
  <si>
    <t>116</t>
  </si>
  <si>
    <t>陳立恩</t>
  </si>
  <si>
    <t>117</t>
  </si>
  <si>
    <t>陳宣諠</t>
  </si>
  <si>
    <t>民權國小</t>
  </si>
  <si>
    <t>118</t>
  </si>
  <si>
    <t>涂芸榛</t>
  </si>
  <si>
    <t>國稅局教保中心</t>
  </si>
  <si>
    <t>涂志豪</t>
  </si>
  <si>
    <t>0971668233</t>
  </si>
  <si>
    <t>119</t>
  </si>
  <si>
    <t>施靖妘</t>
  </si>
  <si>
    <t>蔡宜璇</t>
  </si>
  <si>
    <t>0929921789</t>
  </si>
  <si>
    <t>120</t>
  </si>
  <si>
    <t>陳貞</t>
  </si>
  <si>
    <t>121</t>
  </si>
  <si>
    <t>陳姵璇</t>
  </si>
  <si>
    <t>謝美玲</t>
  </si>
  <si>
    <t>0921246907</t>
  </si>
  <si>
    <t>122</t>
  </si>
  <si>
    <t>方宇騰</t>
  </si>
  <si>
    <t>李淑蘭</t>
  </si>
  <si>
    <t>0911180782</t>
  </si>
  <si>
    <t>123</t>
  </si>
  <si>
    <t>邱昱凱</t>
  </si>
  <si>
    <t>楊惠鈞</t>
  </si>
  <si>
    <t>0925507514</t>
  </si>
  <si>
    <t>126</t>
  </si>
  <si>
    <t>邱薏心</t>
  </si>
  <si>
    <t>光春國小</t>
  </si>
  <si>
    <t>陳雅文</t>
  </si>
  <si>
    <t>0933620521</t>
  </si>
  <si>
    <t>127</t>
  </si>
  <si>
    <t>邱薏庭</t>
  </si>
  <si>
    <t>130</t>
  </si>
  <si>
    <t>黃乙晏</t>
  </si>
  <si>
    <t>喬智</t>
  </si>
  <si>
    <t>李依蓉</t>
  </si>
  <si>
    <t>0910390799</t>
  </si>
  <si>
    <t>131</t>
  </si>
  <si>
    <t>蕭雨芯</t>
  </si>
  <si>
    <t>蕭蕙萍</t>
  </si>
  <si>
    <t>0911181212</t>
  </si>
  <si>
    <t>10/26 來電表示：預計11/1-11/2前來繳費（瑜雯留）</t>
  </si>
  <si>
    <t>132</t>
  </si>
  <si>
    <t>施芮霏</t>
  </si>
  <si>
    <t>維多莉亞</t>
  </si>
  <si>
    <t>翁卿郁</t>
  </si>
  <si>
    <t>0973573965</t>
  </si>
  <si>
    <t>133</t>
  </si>
  <si>
    <t>林幼芯</t>
  </si>
  <si>
    <t>黃郁庭</t>
  </si>
  <si>
    <t>0938537633</t>
  </si>
  <si>
    <t>134</t>
  </si>
  <si>
    <t>林言哲</t>
  </si>
  <si>
    <t>135</t>
  </si>
  <si>
    <t>施凱哲</t>
  </si>
  <si>
    <t>黃雅芸</t>
  </si>
  <si>
    <t>0912992042</t>
  </si>
  <si>
    <t>136</t>
  </si>
  <si>
    <t>陳宣澔</t>
  </si>
  <si>
    <t>陳玫蒴</t>
  </si>
  <si>
    <t>0976331528</t>
  </si>
  <si>
    <t>137</t>
  </si>
  <si>
    <t>陳宣聿</t>
  </si>
  <si>
    <t>138</t>
  </si>
  <si>
    <t>彭盈萁</t>
  </si>
  <si>
    <t>陳宥澐</t>
  </si>
  <si>
    <t>0937987159</t>
  </si>
  <si>
    <t>139</t>
  </si>
  <si>
    <t>王宏澤</t>
  </si>
  <si>
    <t>幼愛</t>
  </si>
  <si>
    <t>陳心淇</t>
  </si>
  <si>
    <t>0989521170</t>
  </si>
  <si>
    <t>140</t>
  </si>
  <si>
    <t>陳姵㚬</t>
  </si>
  <si>
    <t>邱郁涵</t>
  </si>
  <si>
    <t>0981802148</t>
  </si>
  <si>
    <t>141</t>
  </si>
  <si>
    <t>郎堉帆</t>
  </si>
  <si>
    <t>郎偉傑</t>
  </si>
  <si>
    <t>0985616636</t>
  </si>
  <si>
    <t>142</t>
  </si>
  <si>
    <t>陳諾</t>
  </si>
  <si>
    <t>吳秋瑢</t>
  </si>
  <si>
    <t>0975202302</t>
  </si>
  <si>
    <t>143</t>
  </si>
  <si>
    <t>資雨蒔</t>
  </si>
  <si>
    <t>資義生</t>
  </si>
  <si>
    <t>0906559449</t>
  </si>
  <si>
    <t>144</t>
  </si>
  <si>
    <t>柯文甯</t>
  </si>
  <si>
    <t>新南國小</t>
  </si>
  <si>
    <t>黃培珊</t>
  </si>
  <si>
    <t>0989424773</t>
  </si>
  <si>
    <t>145</t>
  </si>
  <si>
    <t>柯羽桓</t>
  </si>
  <si>
    <t>146</t>
  </si>
  <si>
    <t>江依玹</t>
  </si>
  <si>
    <t>郭美翎</t>
  </si>
  <si>
    <t>0934152395</t>
  </si>
  <si>
    <t>147</t>
  </si>
  <si>
    <t>李彥晨</t>
  </si>
  <si>
    <t>李玟錦</t>
  </si>
  <si>
    <t>0978876109</t>
  </si>
  <si>
    <t>148</t>
  </si>
  <si>
    <t>李侑芯</t>
  </si>
  <si>
    <t>九如附幼</t>
  </si>
  <si>
    <t>149</t>
  </si>
  <si>
    <t>黃芯棠</t>
  </si>
  <si>
    <t>南陽國小</t>
  </si>
  <si>
    <t>150</t>
  </si>
  <si>
    <t>郭子語</t>
  </si>
  <si>
    <t>明慧幼兒園</t>
  </si>
  <si>
    <t>王儷錚</t>
  </si>
  <si>
    <t>0908902923</t>
  </si>
  <si>
    <t>151</t>
  </si>
  <si>
    <t>郭于緁</t>
  </si>
  <si>
    <t>廣安國小</t>
  </si>
  <si>
    <t>152</t>
  </si>
  <si>
    <t>鍾佳蓉</t>
  </si>
  <si>
    <t>吳蕙如</t>
  </si>
  <si>
    <t>0955769065</t>
  </si>
  <si>
    <t>153</t>
  </si>
  <si>
    <t>林塏埕</t>
  </si>
  <si>
    <t>方素珠</t>
  </si>
  <si>
    <t>0986853563</t>
  </si>
  <si>
    <t>154</t>
  </si>
  <si>
    <t>李新悅</t>
  </si>
  <si>
    <t>瑞光</t>
  </si>
  <si>
    <t>李俊煒</t>
  </si>
  <si>
    <t>0929380079</t>
  </si>
  <si>
    <t>155</t>
  </si>
  <si>
    <t>陳禹璇</t>
  </si>
  <si>
    <t>李秀葳</t>
  </si>
  <si>
    <t>0916031767</t>
  </si>
  <si>
    <t>156</t>
  </si>
  <si>
    <t>陳以安</t>
  </si>
  <si>
    <t>高雄信義國小</t>
  </si>
  <si>
    <t>林俊秀</t>
  </si>
  <si>
    <t>9196939392</t>
  </si>
  <si>
    <t>157</t>
  </si>
  <si>
    <t>陳以芯</t>
  </si>
  <si>
    <t>0919639392</t>
  </si>
  <si>
    <t>158</t>
  </si>
  <si>
    <t>陳以雅</t>
  </si>
  <si>
    <t>159</t>
  </si>
  <si>
    <t>劉昕晴</t>
  </si>
  <si>
    <t>陳姿帆</t>
  </si>
  <si>
    <t>0987368175</t>
  </si>
  <si>
    <t>160</t>
  </si>
  <si>
    <t>劉昕宇</t>
  </si>
  <si>
    <t>0987368172</t>
  </si>
  <si>
    <t>161</t>
  </si>
  <si>
    <t>劉丞恩</t>
  </si>
  <si>
    <t>劉淑芳</t>
  </si>
  <si>
    <t>0985368067</t>
  </si>
  <si>
    <t>162</t>
  </si>
  <si>
    <t>謝羿辰</t>
  </si>
  <si>
    <t>163</t>
  </si>
  <si>
    <t>黃甯荶</t>
  </si>
  <si>
    <t>仁愛國小附設幼稚園</t>
  </si>
  <si>
    <t>潘信慈</t>
  </si>
  <si>
    <t>0906066617</t>
  </si>
  <si>
    <t>164</t>
  </si>
  <si>
    <t>白詠箴</t>
  </si>
  <si>
    <t>長興</t>
  </si>
  <si>
    <t>梁慧嫺</t>
  </si>
  <si>
    <t>0981006091</t>
  </si>
  <si>
    <t>165</t>
  </si>
  <si>
    <t>梁煦芊</t>
  </si>
  <si>
    <t>茂林國小附幼</t>
  </si>
  <si>
    <t>金宇珊</t>
  </si>
  <si>
    <t>0915058331</t>
  </si>
  <si>
    <t>166</t>
  </si>
  <si>
    <t>蔡昕彤</t>
  </si>
  <si>
    <t>復興</t>
  </si>
  <si>
    <t>陳惠如</t>
  </si>
  <si>
    <t>0960381138</t>
  </si>
  <si>
    <t>167</t>
  </si>
  <si>
    <t>張駿睿</t>
  </si>
  <si>
    <t>邱祐華</t>
  </si>
  <si>
    <t>0952368512</t>
  </si>
  <si>
    <t>168</t>
  </si>
  <si>
    <t>許庭榛</t>
  </si>
  <si>
    <t>東寧國小</t>
  </si>
  <si>
    <t>魏芳</t>
  </si>
  <si>
    <t>0916315399</t>
  </si>
  <si>
    <t>169</t>
  </si>
  <si>
    <t>徐晨曦</t>
  </si>
  <si>
    <t>吳彥慧</t>
  </si>
  <si>
    <t>0989068691</t>
  </si>
  <si>
    <t>170</t>
  </si>
  <si>
    <t>薛雅心</t>
  </si>
  <si>
    <t>中正</t>
  </si>
  <si>
    <t>陳秀琴</t>
  </si>
  <si>
    <t>0919122062</t>
  </si>
  <si>
    <t>171</t>
  </si>
  <si>
    <t>鄭崴倫</t>
  </si>
  <si>
    <t>胡舒羚</t>
  </si>
  <si>
    <t>0975374550</t>
  </si>
  <si>
    <t>172</t>
  </si>
  <si>
    <t>曾一宸</t>
  </si>
  <si>
    <t>勝利幼兒園</t>
  </si>
  <si>
    <t>蔡佳君</t>
  </si>
  <si>
    <t>0910841544</t>
  </si>
  <si>
    <t>173</t>
  </si>
  <si>
    <t>曾苡晴</t>
  </si>
  <si>
    <t>174</t>
  </si>
  <si>
    <t>廖帶恩</t>
  </si>
  <si>
    <t>信義國小</t>
  </si>
  <si>
    <t>王怡心</t>
  </si>
  <si>
    <t>0938880700</t>
  </si>
  <si>
    <t>175</t>
  </si>
  <si>
    <t>陳子淵</t>
  </si>
  <si>
    <t>卓慧芳</t>
  </si>
  <si>
    <t>0977335115</t>
  </si>
  <si>
    <t>176</t>
  </si>
  <si>
    <t>陳子澄</t>
  </si>
  <si>
    <t>177</t>
  </si>
  <si>
    <t>霍子宸</t>
  </si>
  <si>
    <t>葉逸君</t>
  </si>
  <si>
    <t>0931826532</t>
  </si>
  <si>
    <t>178</t>
  </si>
  <si>
    <t>劉亭湞</t>
  </si>
  <si>
    <t>藍巧琳</t>
  </si>
  <si>
    <t>0980660127</t>
  </si>
  <si>
    <t>179</t>
  </si>
  <si>
    <t>劉品靖</t>
  </si>
  <si>
    <t>180</t>
  </si>
  <si>
    <t>桂敏書</t>
  </si>
  <si>
    <t>歐淑梅</t>
  </si>
  <si>
    <t>0919123681</t>
  </si>
  <si>
    <t>181</t>
  </si>
  <si>
    <t>施洛熙</t>
  </si>
  <si>
    <t>施賀壬</t>
  </si>
  <si>
    <t>0925373006</t>
  </si>
  <si>
    <t>182</t>
  </si>
  <si>
    <t>施柏陽</t>
  </si>
  <si>
    <t>快樂幼兒園</t>
  </si>
  <si>
    <t>183</t>
  </si>
  <si>
    <t>洪詩寒</t>
  </si>
  <si>
    <t>徐億茹</t>
  </si>
  <si>
    <t>0938218062</t>
  </si>
  <si>
    <t>184</t>
  </si>
  <si>
    <t>洪晨玹</t>
  </si>
  <si>
    <t>185</t>
  </si>
  <si>
    <t>傅雨箴</t>
  </si>
  <si>
    <t>彭厝國小</t>
  </si>
  <si>
    <t>辜惠文</t>
  </si>
  <si>
    <t>0927683692</t>
  </si>
  <si>
    <t>186</t>
  </si>
  <si>
    <t>黃熙恩</t>
  </si>
  <si>
    <t>屏科實中</t>
  </si>
  <si>
    <t>羅怡屏</t>
  </si>
  <si>
    <t>0963123996</t>
  </si>
  <si>
    <t>187</t>
  </si>
  <si>
    <t>許安晴</t>
  </si>
  <si>
    <t>尹琬婷</t>
  </si>
  <si>
    <t>0987932887</t>
  </si>
  <si>
    <t>188</t>
  </si>
  <si>
    <t>許牧辰</t>
  </si>
  <si>
    <t>189</t>
  </si>
  <si>
    <t>利卉喬</t>
  </si>
  <si>
    <t>屏科實小</t>
  </si>
  <si>
    <t>陳儀芳</t>
  </si>
  <si>
    <t>0972896881</t>
  </si>
  <si>
    <t>190</t>
  </si>
  <si>
    <t>利咏倫</t>
  </si>
  <si>
    <t>191</t>
  </si>
  <si>
    <t>利芮榛</t>
  </si>
  <si>
    <t>192</t>
  </si>
  <si>
    <t>王炫凱</t>
  </si>
  <si>
    <t>陳錦文</t>
  </si>
  <si>
    <t>0966616559</t>
  </si>
  <si>
    <t>193</t>
  </si>
  <si>
    <t>王辰瀚</t>
  </si>
  <si>
    <t>道明幼稚園</t>
  </si>
  <si>
    <t>194</t>
  </si>
  <si>
    <t>歐宸佑</t>
  </si>
  <si>
    <t>陳玲如</t>
  </si>
  <si>
    <t>0920502513</t>
  </si>
  <si>
    <t>195</t>
  </si>
  <si>
    <t>陳祉涵</t>
  </si>
  <si>
    <t>和平</t>
  </si>
  <si>
    <t>林綉蓮</t>
  </si>
  <si>
    <t>0930050055</t>
  </si>
  <si>
    <t>196</t>
  </si>
  <si>
    <t>徐宸皓</t>
  </si>
  <si>
    <t>快樂</t>
  </si>
  <si>
    <t>鄭婷婷</t>
  </si>
  <si>
    <t>0976760628</t>
  </si>
  <si>
    <t>197</t>
  </si>
  <si>
    <t>賴婧慈</t>
  </si>
  <si>
    <t>賴易良</t>
  </si>
  <si>
    <t>0955207072</t>
  </si>
  <si>
    <t>198</t>
  </si>
  <si>
    <t>鍾宥晴</t>
  </si>
  <si>
    <t>屏東市中正國小</t>
  </si>
  <si>
    <t>鍾尚義</t>
  </si>
  <si>
    <t>0911880071</t>
  </si>
  <si>
    <t>199</t>
  </si>
  <si>
    <t>張又仁</t>
  </si>
  <si>
    <t>台電教保中心</t>
  </si>
  <si>
    <t>曹靜宜</t>
  </si>
  <si>
    <t>0929294439</t>
  </si>
  <si>
    <t>200</t>
  </si>
  <si>
    <t>陳蕬恬</t>
  </si>
  <si>
    <t>崇文國小附幼</t>
  </si>
  <si>
    <t>陳昭君</t>
  </si>
  <si>
    <t>0961123301</t>
  </si>
  <si>
    <t>201</t>
  </si>
  <si>
    <t>盧蕬玹</t>
  </si>
  <si>
    <t>202</t>
  </si>
  <si>
    <t>蘇耘樂</t>
  </si>
  <si>
    <t>潘淑瑜</t>
  </si>
  <si>
    <t>0911036516</t>
  </si>
  <si>
    <t>203</t>
  </si>
  <si>
    <t>黃羿瑄</t>
  </si>
  <si>
    <t>鄭喬云</t>
  </si>
  <si>
    <t>0925525015</t>
  </si>
  <si>
    <t>204</t>
  </si>
  <si>
    <t>黃晨哲</t>
  </si>
  <si>
    <t>205</t>
  </si>
  <si>
    <t>鄭惠文</t>
  </si>
  <si>
    <t>三和國小</t>
  </si>
  <si>
    <t>0987001187</t>
  </si>
  <si>
    <t>206</t>
  </si>
  <si>
    <t>徐永宸</t>
  </si>
  <si>
    <t>麟洛</t>
  </si>
  <si>
    <t>謝蕓梃</t>
  </si>
  <si>
    <t>0963123713</t>
  </si>
  <si>
    <t>207</t>
  </si>
  <si>
    <t>徐以晴</t>
  </si>
  <si>
    <t>208</t>
  </si>
  <si>
    <t>許家榛</t>
  </si>
  <si>
    <t>林碧娟</t>
  </si>
  <si>
    <t>0925200628</t>
  </si>
  <si>
    <t>209</t>
  </si>
  <si>
    <t>許馨予</t>
  </si>
  <si>
    <t>210</t>
  </si>
  <si>
    <t>藍振榮</t>
  </si>
  <si>
    <t>藍秉琮</t>
  </si>
  <si>
    <t>211</t>
  </si>
  <si>
    <t>謝介中</t>
  </si>
  <si>
    <t>⁨林綉蓮⁩</t>
  </si>
  <si>
    <t>212</t>
  </si>
  <si>
    <t>謝秉圻</t>
  </si>
  <si>
    <t>唐榮</t>
  </si>
  <si>
    <t>李易姍</t>
  </si>
  <si>
    <t>0979331077</t>
  </si>
  <si>
    <t>213</t>
  </si>
  <si>
    <t>鄭嘉偉</t>
  </si>
  <si>
    <t>卓春蘭</t>
  </si>
  <si>
    <t>098110571</t>
  </si>
  <si>
    <t>214</t>
  </si>
  <si>
    <t>鄭佳珍</t>
  </si>
  <si>
    <t>0981190571</t>
  </si>
  <si>
    <t>215</t>
  </si>
  <si>
    <t>田采琋</t>
  </si>
  <si>
    <t>華山</t>
  </si>
  <si>
    <t>王怡方</t>
  </si>
  <si>
    <t>0981690519</t>
  </si>
  <si>
    <t>216</t>
  </si>
  <si>
    <t>蕭子軒</t>
  </si>
  <si>
    <t>空間非營利幼兒園</t>
  </si>
  <si>
    <t>盧郁文</t>
  </si>
  <si>
    <t>0982321318</t>
  </si>
  <si>
    <t>217</t>
  </si>
  <si>
    <t>黃潔翎</t>
  </si>
  <si>
    <t>高樹國小</t>
  </si>
  <si>
    <t>李逸欣</t>
  </si>
  <si>
    <t>0982266785</t>
  </si>
  <si>
    <t>218</t>
  </si>
  <si>
    <t>黃婷萱</t>
  </si>
  <si>
    <t>219</t>
  </si>
  <si>
    <t>蔡詠恩</t>
  </si>
  <si>
    <t>陳有望</t>
  </si>
  <si>
    <t>0936067337</t>
  </si>
  <si>
    <t>220</t>
  </si>
  <si>
    <t>蔡沛恩</t>
  </si>
  <si>
    <t>221</t>
  </si>
  <si>
    <t>舞臻·瑪法力夫</t>
  </si>
  <si>
    <t>泰武國小</t>
  </si>
  <si>
    <t>黃曉婷</t>
  </si>
  <si>
    <t>0905815130</t>
  </si>
  <si>
    <t>222</t>
  </si>
  <si>
    <t>智高·瑪法力夫</t>
  </si>
  <si>
    <t>223</t>
  </si>
  <si>
    <t>阿力夫·瑪法力夫</t>
  </si>
  <si>
    <t>泰武國小附幼</t>
  </si>
  <si>
    <t>224</t>
  </si>
  <si>
    <t>盧子芸</t>
  </si>
  <si>
    <t>建國國小附幼</t>
  </si>
  <si>
    <t>賴億芩</t>
  </si>
  <si>
    <t>0963199958</t>
  </si>
  <si>
    <t>225</t>
  </si>
  <si>
    <t>黃芯瑜</t>
  </si>
  <si>
    <t>前鎮非營利幼兒園</t>
  </si>
  <si>
    <t>陳書萱</t>
  </si>
  <si>
    <t>0935255001</t>
  </si>
  <si>
    <t>226</t>
  </si>
  <si>
    <t>林牧羲</t>
  </si>
  <si>
    <t>林亭君</t>
  </si>
  <si>
    <t>0913012350</t>
  </si>
  <si>
    <t>227</t>
  </si>
  <si>
    <t>潘柏澔</t>
  </si>
  <si>
    <t>幼稚園</t>
  </si>
  <si>
    <t>潘建瑋</t>
  </si>
  <si>
    <t>0934188038</t>
  </si>
  <si>
    <t>228</t>
  </si>
  <si>
    <t>林牧堯</t>
  </si>
  <si>
    <t>229</t>
  </si>
  <si>
    <t>潘柏霏</t>
  </si>
  <si>
    <t>萬丹-四維國小</t>
  </si>
  <si>
    <t>230</t>
  </si>
  <si>
    <t>李佩芹</t>
  </si>
  <si>
    <t>李朝陽</t>
  </si>
  <si>
    <t>0935437473</t>
  </si>
  <si>
    <t>231</t>
  </si>
  <si>
    <t>簡宸睿</t>
  </si>
  <si>
    <t>翁慧芳</t>
  </si>
  <si>
    <t>0915670590</t>
  </si>
  <si>
    <t>232</t>
  </si>
  <si>
    <t>高語彤</t>
  </si>
  <si>
    <t>高于晴</t>
  </si>
  <si>
    <t>0932811977</t>
  </si>
  <si>
    <t>233</t>
  </si>
  <si>
    <t>陳蕎沄</t>
  </si>
  <si>
    <t>鄭舒文</t>
  </si>
  <si>
    <t>0975382183</t>
  </si>
  <si>
    <t>234</t>
  </si>
  <si>
    <t>林采璇</t>
  </si>
  <si>
    <t>潘姵辰</t>
  </si>
  <si>
    <t>0909207701</t>
  </si>
  <si>
    <t>235</t>
  </si>
  <si>
    <t>吳羿萱</t>
  </si>
  <si>
    <t>魏子菱</t>
  </si>
  <si>
    <t>0925723939</t>
  </si>
  <si>
    <t>236</t>
  </si>
  <si>
    <t>白相宇</t>
  </si>
  <si>
    <t>吳淑婷</t>
  </si>
  <si>
    <t>0958469020</t>
  </si>
  <si>
    <t>237</t>
  </si>
  <si>
    <t>白妤昕</t>
  </si>
  <si>
    <t>238</t>
  </si>
  <si>
    <t>黃愃媮</t>
  </si>
  <si>
    <t>徐佳鈴</t>
  </si>
  <si>
    <t>0925111407</t>
  </si>
  <si>
    <t>239</t>
  </si>
  <si>
    <t>黃暄喬</t>
  </si>
  <si>
    <t>240</t>
  </si>
  <si>
    <t>許緯澔</t>
  </si>
  <si>
    <t>劉議文</t>
  </si>
  <si>
    <t>0919175302</t>
  </si>
  <si>
    <t>241</t>
  </si>
  <si>
    <t>陳竑旭</t>
  </si>
  <si>
    <t>陳聖宗</t>
  </si>
  <si>
    <t>0980896350</t>
  </si>
  <si>
    <t>242</t>
  </si>
  <si>
    <t>張芷寧</t>
  </si>
  <si>
    <t>王淑玲</t>
  </si>
  <si>
    <t>0936488807</t>
  </si>
  <si>
    <t>243</t>
  </si>
  <si>
    <t>姚名修</t>
  </si>
  <si>
    <t>瑞光幼兒園</t>
  </si>
  <si>
    <t>姚明辰</t>
  </si>
  <si>
    <t>0989147770</t>
  </si>
  <si>
    <t>244</t>
  </si>
  <si>
    <t>姚惠紜</t>
  </si>
  <si>
    <t>245</t>
  </si>
  <si>
    <t>林郁翔</t>
  </si>
  <si>
    <t>m0938181605@gmail.com</t>
  </si>
  <si>
    <t>8938181605</t>
  </si>
  <si>
    <t>246</t>
  </si>
  <si>
    <t>黃宥捷</t>
  </si>
  <si>
    <t>培華幼兒園</t>
  </si>
  <si>
    <t>洪佩親</t>
  </si>
  <si>
    <t>0901413462</t>
  </si>
  <si>
    <t>247</t>
  </si>
  <si>
    <t>黃郁媗</t>
  </si>
  <si>
    <t>D001</t>
  </si>
  <si>
    <t>D002</t>
  </si>
  <si>
    <t>D003</t>
  </si>
  <si>
    <t>D004</t>
  </si>
  <si>
    <t>D005</t>
  </si>
  <si>
    <t>D006</t>
  </si>
  <si>
    <t>S107</t>
  </si>
  <si>
    <t>S108</t>
  </si>
  <si>
    <t>S109</t>
  </si>
  <si>
    <t>S210</t>
  </si>
  <si>
    <t>S211</t>
  </si>
  <si>
    <t>S212</t>
  </si>
  <si>
    <t>S213</t>
  </si>
  <si>
    <t>S314</t>
  </si>
  <si>
    <t>S315</t>
  </si>
  <si>
    <t>S316</t>
  </si>
  <si>
    <t>S417</t>
  </si>
  <si>
    <t>S418</t>
  </si>
  <si>
    <t>S419</t>
  </si>
  <si>
    <t>S520</t>
  </si>
  <si>
    <t>S521</t>
  </si>
  <si>
    <t>S622</t>
  </si>
  <si>
    <t>S623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</si>
</sst>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9"/>
      <name val="Adobe Fan Heiti Std B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DE49A"/>
      </patternFill>
    </fill>
    <fill>
      <patternFill patternType="solid">
        <fgColor rgb="FFD1F1DA"/>
      </patternFill>
    </fill>
    <fill>
      <patternFill patternType="solid">
        <fgColor rgb="FFD0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4"/>
  <sheetViews>
    <sheetView workbookViewId="0"/>
  </sheetViews>
  <sheetFormatPr baseColWidth="10" defaultRowHeight="15" x14ac:dyDescent="0.2"/>
  <cols>
    <col min="1" max="2" width="6.83203125" customWidth="1"/>
    <col min="3" max="3" width="10.83203125" customWidth="1"/>
    <col min="4" max="4" width="18.83203125" customWidth="1"/>
    <col min="5" max="5" width="6.83203125" customWidth="1"/>
    <col min="6" max="6" width="8.83203125" customWidth="1"/>
    <col min="7" max="7" width="21.83203125" customWidth="1"/>
    <col min="8" max="8" width="25.83203125" customWidth="1"/>
    <col min="9" max="9" width="15.83203125" customWidth="1"/>
    <col min="10" max="10" width="53.83203125" customWidth="1"/>
  </cols>
  <sheetData>
    <row r="1" spans="1:10" x14ac:dyDescent="0.2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2">
      <c r="A2" s="4">
        <v>1</v>
      </c>
      <c r="B2" s="5" t="str">
        <f>IFERROR(INDEX(四年級!$B:$B,MATCH(D2,四年級!$D:$D,0)),"")</f>
        <v>S417</v>
      </c>
      <c r="C2" s="4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5" t="s">
        <v>16</v>
      </c>
      <c r="J2" s="6" t="s">
        <v>17</v>
      </c>
    </row>
    <row r="3" spans="1:10" x14ac:dyDescent="0.2">
      <c r="A3" s="4">
        <v>2</v>
      </c>
      <c r="B3" s="5" t="str">
        <f>IFERROR(INDEX(一年級!$B:$B,MATCH(D3,一年級!$D:$D,0)),"")</f>
        <v>S107</v>
      </c>
      <c r="C3" s="4" t="s">
        <v>10</v>
      </c>
      <c r="D3" s="6" t="s">
        <v>18</v>
      </c>
      <c r="E3" s="6" t="s">
        <v>12</v>
      </c>
      <c r="F3" s="6" t="s">
        <v>19</v>
      </c>
      <c r="G3" s="6" t="s">
        <v>20</v>
      </c>
      <c r="H3" s="6" t="s">
        <v>21</v>
      </c>
      <c r="I3" s="5" t="s">
        <v>22</v>
      </c>
      <c r="J3" s="6" t="s">
        <v>17</v>
      </c>
    </row>
    <row r="4" spans="1:10" x14ac:dyDescent="0.2">
      <c r="A4" s="4">
        <v>3</v>
      </c>
      <c r="B4" s="5" t="str">
        <f>IFERROR(INDEX(一年級!$B:$B,MATCH(D4,一年級!$D:$D,0)),"")</f>
        <v>S107</v>
      </c>
      <c r="C4" s="4" t="s">
        <v>10</v>
      </c>
      <c r="D4" s="6" t="s">
        <v>23</v>
      </c>
      <c r="E4" s="6" t="s">
        <v>12</v>
      </c>
      <c r="F4" s="6" t="s">
        <v>19</v>
      </c>
      <c r="G4" s="6" t="s">
        <v>24</v>
      </c>
      <c r="H4" s="6" t="s">
        <v>25</v>
      </c>
      <c r="I4" s="5" t="s">
        <v>26</v>
      </c>
      <c r="J4" s="6" t="s">
        <v>17</v>
      </c>
    </row>
    <row r="5" spans="1:10" x14ac:dyDescent="0.2">
      <c r="A5" s="4">
        <v>4</v>
      </c>
      <c r="B5" s="5" t="str">
        <f>IFERROR(INDEX(學齡前!$B:$B,MATCH(D5,學齡前!$D:$D,0)),"")</f>
        <v>D002</v>
      </c>
      <c r="C5" s="4" t="s">
        <v>10</v>
      </c>
      <c r="D5" s="6" t="s">
        <v>27</v>
      </c>
      <c r="E5" s="6" t="s">
        <v>12</v>
      </c>
      <c r="F5" s="6" t="s">
        <v>28</v>
      </c>
      <c r="G5" s="6" t="s">
        <v>29</v>
      </c>
      <c r="H5" s="6" t="s">
        <v>30</v>
      </c>
      <c r="I5" s="5" t="s">
        <v>31</v>
      </c>
      <c r="J5" s="6" t="s">
        <v>32</v>
      </c>
    </row>
    <row r="6" spans="1:10" x14ac:dyDescent="0.2">
      <c r="A6" s="4">
        <v>5</v>
      </c>
      <c r="B6" s="5" t="str">
        <f>IFERROR(INDEX(學齡前!$B:$B,MATCH(D6,學齡前!$D:$D,0)),"")</f>
        <v>D003</v>
      </c>
      <c r="C6" s="4" t="s">
        <v>10</v>
      </c>
      <c r="D6" s="6" t="s">
        <v>33</v>
      </c>
      <c r="E6" s="6" t="s">
        <v>34</v>
      </c>
      <c r="F6" s="6" t="s">
        <v>35</v>
      </c>
      <c r="G6" s="6" t="s">
        <v>36</v>
      </c>
      <c r="H6" s="6" t="s">
        <v>37</v>
      </c>
      <c r="I6" s="5" t="s">
        <v>38</v>
      </c>
      <c r="J6" s="6" t="s">
        <v>17</v>
      </c>
    </row>
    <row r="7" spans="1:10" x14ac:dyDescent="0.2">
      <c r="A7" s="4">
        <v>6</v>
      </c>
      <c r="B7" s="5" t="str">
        <f>IFERROR(INDEX(一年級!$B:$B,MATCH(D7,一年級!$D:$D,0)),"")</f>
        <v>S107</v>
      </c>
      <c r="C7" s="4" t="s">
        <v>10</v>
      </c>
      <c r="D7" s="6" t="s">
        <v>39</v>
      </c>
      <c r="E7" s="6" t="s">
        <v>12</v>
      </c>
      <c r="F7" s="6" t="s">
        <v>19</v>
      </c>
      <c r="G7" s="6" t="s">
        <v>40</v>
      </c>
      <c r="H7" s="6" t="s">
        <v>41</v>
      </c>
      <c r="I7" s="5" t="s">
        <v>42</v>
      </c>
      <c r="J7" s="6" t="s">
        <v>17</v>
      </c>
    </row>
    <row r="8" spans="1:10" x14ac:dyDescent="0.2">
      <c r="A8" s="4">
        <v>7</v>
      </c>
      <c r="B8" s="5" t="str">
        <f>IFERROR(INDEX(學齡前!$B:$B,MATCH(D8,學齡前!$D:$D,0)),"")</f>
        <v>D004</v>
      </c>
      <c r="C8" s="4" t="s">
        <v>10</v>
      </c>
      <c r="D8" s="6" t="s">
        <v>43</v>
      </c>
      <c r="E8" s="6" t="s">
        <v>34</v>
      </c>
      <c r="F8" s="6" t="s">
        <v>35</v>
      </c>
      <c r="G8" s="6" t="s">
        <v>44</v>
      </c>
      <c r="H8" s="6" t="s">
        <v>41</v>
      </c>
      <c r="I8" s="5" t="s">
        <v>42</v>
      </c>
      <c r="J8" s="6" t="s">
        <v>17</v>
      </c>
    </row>
    <row r="9" spans="1:10" x14ac:dyDescent="0.2">
      <c r="A9" s="4">
        <v>8</v>
      </c>
      <c r="B9" s="5" t="str">
        <f>IFERROR(INDEX(三年級!$B:$B,MATCH(D9,三年級!$D:$D,0)),"")</f>
        <v>S314</v>
      </c>
      <c r="C9" s="4" t="s">
        <v>10</v>
      </c>
      <c r="D9" s="6" t="s">
        <v>45</v>
      </c>
      <c r="E9" s="6" t="s">
        <v>12</v>
      </c>
      <c r="F9" s="6" t="s">
        <v>46</v>
      </c>
      <c r="G9" s="6" t="s">
        <v>47</v>
      </c>
      <c r="H9" s="6" t="s">
        <v>48</v>
      </c>
      <c r="I9" s="5" t="s">
        <v>49</v>
      </c>
      <c r="J9" s="6" t="s">
        <v>17</v>
      </c>
    </row>
    <row r="10" spans="1:10" x14ac:dyDescent="0.2">
      <c r="A10" s="4">
        <v>9</v>
      </c>
      <c r="B10" s="5" t="str">
        <f>IFERROR(INDEX(一年級!$B:$B,MATCH(D10,一年級!$D:$D,0)),"")</f>
        <v>S107</v>
      </c>
      <c r="C10" s="4" t="s">
        <v>10</v>
      </c>
      <c r="D10" s="6" t="s">
        <v>50</v>
      </c>
      <c r="E10" s="6" t="s">
        <v>12</v>
      </c>
      <c r="F10" s="6" t="s">
        <v>19</v>
      </c>
      <c r="G10" s="6" t="s">
        <v>51</v>
      </c>
      <c r="H10" s="6" t="s">
        <v>52</v>
      </c>
      <c r="I10" s="5" t="s">
        <v>53</v>
      </c>
      <c r="J10" s="6" t="s">
        <v>17</v>
      </c>
    </row>
    <row r="11" spans="1:10" x14ac:dyDescent="0.2">
      <c r="A11" s="4">
        <v>10</v>
      </c>
      <c r="B11" s="5" t="str">
        <f>IFERROR(INDEX(二年級!$B:$B,MATCH(D11,二年級!$D:$D,0)),"")</f>
        <v>S210</v>
      </c>
      <c r="C11" s="4" t="s">
        <v>10</v>
      </c>
      <c r="D11" s="6" t="s">
        <v>54</v>
      </c>
      <c r="E11" s="6" t="s">
        <v>12</v>
      </c>
      <c r="F11" s="6" t="s">
        <v>55</v>
      </c>
      <c r="G11" s="6" t="s">
        <v>56</v>
      </c>
      <c r="H11" s="6" t="s">
        <v>57</v>
      </c>
      <c r="I11" s="5" t="s">
        <v>58</v>
      </c>
      <c r="J11" s="6" t="s">
        <v>17</v>
      </c>
    </row>
    <row r="12" spans="1:10" x14ac:dyDescent="0.2">
      <c r="A12" s="4">
        <v>11</v>
      </c>
      <c r="B12" s="5" t="str">
        <f>IFERROR(INDEX(五年級!$B:$B,MATCH(D12,五年級!$D:$D,0)),"")</f>
        <v>S520</v>
      </c>
      <c r="C12" s="4" t="s">
        <v>10</v>
      </c>
      <c r="D12" s="6" t="s">
        <v>59</v>
      </c>
      <c r="E12" s="6" t="s">
        <v>34</v>
      </c>
      <c r="F12" s="6" t="s">
        <v>60</v>
      </c>
      <c r="G12" s="6" t="s">
        <v>56</v>
      </c>
      <c r="H12" s="6" t="s">
        <v>57</v>
      </c>
      <c r="I12" s="5" t="s">
        <v>58</v>
      </c>
      <c r="J12" s="6" t="s">
        <v>17</v>
      </c>
    </row>
    <row r="13" spans="1:10" x14ac:dyDescent="0.2">
      <c r="A13" s="4">
        <v>12</v>
      </c>
      <c r="B13" s="5" t="str">
        <f>IFERROR(INDEX(學齡前!$B:$B,MATCH(D13,學齡前!$D:$D,0)),"")</f>
        <v>D002</v>
      </c>
      <c r="C13" s="4" t="s">
        <v>10</v>
      </c>
      <c r="D13" s="6" t="s">
        <v>61</v>
      </c>
      <c r="E13" s="6" t="s">
        <v>34</v>
      </c>
      <c r="F13" s="6" t="s">
        <v>28</v>
      </c>
      <c r="G13" s="6" t="s">
        <v>62</v>
      </c>
      <c r="H13" s="6" t="s">
        <v>63</v>
      </c>
      <c r="I13" s="5" t="s">
        <v>64</v>
      </c>
      <c r="J13" s="6" t="s">
        <v>17</v>
      </c>
    </row>
    <row r="14" spans="1:10" x14ac:dyDescent="0.2">
      <c r="A14" s="4">
        <v>13</v>
      </c>
      <c r="B14" s="5" t="str">
        <f>IFERROR(INDEX(六年級!$B:$B,MATCH(D14,六年級!$D:$D,0)),"")</f>
        <v>S622</v>
      </c>
      <c r="C14" s="4" t="s">
        <v>10</v>
      </c>
      <c r="D14" s="6" t="s">
        <v>65</v>
      </c>
      <c r="E14" s="6" t="s">
        <v>12</v>
      </c>
      <c r="F14" s="6" t="s">
        <v>66</v>
      </c>
      <c r="G14" s="6" t="s">
        <v>67</v>
      </c>
      <c r="H14" s="6" t="s">
        <v>68</v>
      </c>
      <c r="I14" s="5" t="s">
        <v>69</v>
      </c>
      <c r="J14" s="6" t="s">
        <v>17</v>
      </c>
    </row>
    <row r="15" spans="1:10" x14ac:dyDescent="0.2">
      <c r="A15" s="4">
        <v>14</v>
      </c>
      <c r="B15" s="5" t="str">
        <f>IFERROR(INDEX(二年級!$B:$B,MATCH(D15,二年級!$D:$D,0)),"")</f>
        <v>S210</v>
      </c>
      <c r="C15" s="4" t="s">
        <v>10</v>
      </c>
      <c r="D15" s="6" t="s">
        <v>70</v>
      </c>
      <c r="E15" s="6" t="s">
        <v>12</v>
      </c>
      <c r="F15" s="6" t="s">
        <v>55</v>
      </c>
      <c r="G15" s="6" t="s">
        <v>67</v>
      </c>
      <c r="H15" s="6" t="s">
        <v>68</v>
      </c>
      <c r="I15" s="5" t="s">
        <v>69</v>
      </c>
      <c r="J15" s="6" t="s">
        <v>17</v>
      </c>
    </row>
    <row r="16" spans="1:10" x14ac:dyDescent="0.2">
      <c r="A16" s="4">
        <v>15</v>
      </c>
      <c r="B16" s="5" t="str">
        <f>IFERROR(INDEX(學齡前!$B:$B,MATCH(D16,學齡前!$D:$D,0)),"")</f>
        <v>D001</v>
      </c>
      <c r="C16" s="4" t="s">
        <v>10</v>
      </c>
      <c r="D16" s="6" t="s">
        <v>71</v>
      </c>
      <c r="E16" s="6" t="s">
        <v>34</v>
      </c>
      <c r="F16" s="6" t="s">
        <v>72</v>
      </c>
      <c r="G16" s="6" t="s">
        <v>73</v>
      </c>
      <c r="H16" s="6" t="s">
        <v>74</v>
      </c>
      <c r="I16" s="5" t="s">
        <v>75</v>
      </c>
      <c r="J16" s="6" t="s">
        <v>17</v>
      </c>
    </row>
    <row r="17" spans="1:10" x14ac:dyDescent="0.2">
      <c r="A17" s="4">
        <v>16</v>
      </c>
      <c r="B17" s="5" t="str">
        <f>IFERROR(INDEX(學齡前!$B:$B,MATCH(D17,學齡前!$D:$D,0)),"")</f>
        <v>D001</v>
      </c>
      <c r="C17" s="4" t="s">
        <v>10</v>
      </c>
      <c r="D17" s="6" t="s">
        <v>76</v>
      </c>
      <c r="E17" s="6" t="s">
        <v>12</v>
      </c>
      <c r="F17" s="6" t="s">
        <v>72</v>
      </c>
      <c r="G17" s="6" t="s">
        <v>77</v>
      </c>
      <c r="H17" s="6" t="s">
        <v>78</v>
      </c>
      <c r="I17" s="5" t="s">
        <v>79</v>
      </c>
      <c r="J17" s="6" t="s">
        <v>17</v>
      </c>
    </row>
    <row r="18" spans="1:10" x14ac:dyDescent="0.2">
      <c r="A18" s="4">
        <v>17</v>
      </c>
      <c r="B18" s="5" t="str">
        <f>IFERROR(INDEX(二年級!$B:$B,MATCH(D18,二年級!$D:$D,0)),"")</f>
        <v>S210</v>
      </c>
      <c r="C18" s="4" t="s">
        <v>10</v>
      </c>
      <c r="D18" s="6" t="s">
        <v>80</v>
      </c>
      <c r="E18" s="6" t="s">
        <v>34</v>
      </c>
      <c r="F18" s="6" t="s">
        <v>55</v>
      </c>
      <c r="G18" s="6" t="s">
        <v>56</v>
      </c>
      <c r="H18" s="6" t="s">
        <v>81</v>
      </c>
      <c r="I18" s="5" t="s">
        <v>82</v>
      </c>
      <c r="J18" s="6" t="s">
        <v>17</v>
      </c>
    </row>
    <row r="19" spans="1:10" x14ac:dyDescent="0.2">
      <c r="A19" s="4">
        <v>18</v>
      </c>
      <c r="B19" s="5" t="str">
        <f>IFERROR(INDEX(學齡前!$B:$B,MATCH(D19,學齡前!$D:$D,0)),"")</f>
        <v>D002</v>
      </c>
      <c r="C19" s="4" t="s">
        <v>10</v>
      </c>
      <c r="D19" s="6" t="s">
        <v>83</v>
      </c>
      <c r="E19" s="6" t="s">
        <v>34</v>
      </c>
      <c r="F19" s="6" t="s">
        <v>28</v>
      </c>
      <c r="G19" s="6" t="s">
        <v>84</v>
      </c>
      <c r="H19" s="6" t="s">
        <v>85</v>
      </c>
      <c r="I19" s="5" t="s">
        <v>86</v>
      </c>
      <c r="J19" s="6" t="s">
        <v>17</v>
      </c>
    </row>
    <row r="20" spans="1:10" x14ac:dyDescent="0.2">
      <c r="A20" s="4">
        <v>19</v>
      </c>
      <c r="B20" s="5" t="str">
        <f>IFERROR(INDEX(四年級!$B:$B,MATCH(D20,四年級!$D:$D,0)),"")</f>
        <v>S417</v>
      </c>
      <c r="C20" s="4" t="s">
        <v>10</v>
      </c>
      <c r="D20" s="6" t="s">
        <v>87</v>
      </c>
      <c r="E20" s="6" t="s">
        <v>34</v>
      </c>
      <c r="F20" s="6" t="s">
        <v>13</v>
      </c>
      <c r="G20" s="6" t="s">
        <v>88</v>
      </c>
      <c r="H20" s="6" t="s">
        <v>89</v>
      </c>
      <c r="I20" s="5" t="s">
        <v>90</v>
      </c>
      <c r="J20" s="6" t="s">
        <v>17</v>
      </c>
    </row>
    <row r="21" spans="1:10" x14ac:dyDescent="0.2">
      <c r="A21" s="4">
        <v>20</v>
      </c>
      <c r="B21" s="5" t="str">
        <f>IFERROR(INDEX(二年級!$B:$B,MATCH(D21,二年級!$D:$D,0)),"")</f>
        <v>S210</v>
      </c>
      <c r="C21" s="4" t="s">
        <v>10</v>
      </c>
      <c r="D21" s="6" t="s">
        <v>91</v>
      </c>
      <c r="E21" s="6" t="s">
        <v>34</v>
      </c>
      <c r="F21" s="6" t="s">
        <v>55</v>
      </c>
      <c r="G21" s="6" t="s">
        <v>88</v>
      </c>
      <c r="H21" s="6" t="s">
        <v>89</v>
      </c>
      <c r="I21" s="5" t="s">
        <v>90</v>
      </c>
      <c r="J21" s="6" t="s">
        <v>17</v>
      </c>
    </row>
    <row r="22" spans="1:10" x14ac:dyDescent="0.2">
      <c r="A22" s="4">
        <v>21</v>
      </c>
      <c r="B22" s="5" t="str">
        <f>IFERROR(INDEX(四年級!$B:$B,MATCH(D22,四年級!$D:$D,0)),"")</f>
        <v>S417</v>
      </c>
      <c r="C22" s="4" t="s">
        <v>10</v>
      </c>
      <c r="D22" s="6" t="s">
        <v>92</v>
      </c>
      <c r="E22" s="6" t="s">
        <v>34</v>
      </c>
      <c r="F22" s="6" t="s">
        <v>13</v>
      </c>
      <c r="G22" s="6" t="s">
        <v>93</v>
      </c>
      <c r="H22" s="6" t="s">
        <v>94</v>
      </c>
      <c r="I22" s="5" t="s">
        <v>95</v>
      </c>
      <c r="J22" s="6" t="s">
        <v>17</v>
      </c>
    </row>
    <row r="23" spans="1:10" x14ac:dyDescent="0.2">
      <c r="A23" s="4">
        <v>22</v>
      </c>
      <c r="B23" s="5" t="str">
        <f>IFERROR(INDEX(四年級!$B:$B,MATCH(D23,四年級!$D:$D,0)),"")</f>
        <v>S417</v>
      </c>
      <c r="C23" s="4" t="s">
        <v>10</v>
      </c>
      <c r="D23" s="6" t="s">
        <v>96</v>
      </c>
      <c r="E23" s="6" t="s">
        <v>34</v>
      </c>
      <c r="F23" s="6" t="s">
        <v>13</v>
      </c>
      <c r="G23" s="6" t="s">
        <v>93</v>
      </c>
      <c r="H23" s="6" t="s">
        <v>94</v>
      </c>
      <c r="I23" s="5" t="s">
        <v>95</v>
      </c>
      <c r="J23" s="6" t="s">
        <v>17</v>
      </c>
    </row>
    <row r="24" spans="1:10" x14ac:dyDescent="0.2">
      <c r="A24" s="4">
        <v>23</v>
      </c>
      <c r="B24" s="5" t="str">
        <f>IFERROR(INDEX(二年級!$B:$B,MATCH(D24,二年級!$D:$D,0)),"")</f>
        <v>S210</v>
      </c>
      <c r="C24" s="4" t="s">
        <v>10</v>
      </c>
      <c r="D24" s="6" t="s">
        <v>97</v>
      </c>
      <c r="E24" s="6" t="s">
        <v>12</v>
      </c>
      <c r="F24" s="6" t="s">
        <v>55</v>
      </c>
      <c r="G24" s="6" t="s">
        <v>98</v>
      </c>
      <c r="H24" s="6" t="s">
        <v>99</v>
      </c>
      <c r="I24" s="5" t="s">
        <v>100</v>
      </c>
      <c r="J24" s="6" t="s">
        <v>17</v>
      </c>
    </row>
    <row r="25" spans="1:10" x14ac:dyDescent="0.2">
      <c r="A25" s="4">
        <v>24</v>
      </c>
      <c r="B25" s="5" t="str">
        <f>IFERROR(INDEX(四年級!$B:$B,MATCH(D25,四年級!$D:$D,0)),"")</f>
        <v>S417</v>
      </c>
      <c r="C25" s="4" t="s">
        <v>10</v>
      </c>
      <c r="D25" s="6" t="s">
        <v>101</v>
      </c>
      <c r="E25" s="6" t="s">
        <v>34</v>
      </c>
      <c r="F25" s="6" t="s">
        <v>13</v>
      </c>
      <c r="G25" s="6" t="s">
        <v>102</v>
      </c>
      <c r="H25" s="6" t="s">
        <v>103</v>
      </c>
      <c r="I25" s="5" t="s">
        <v>104</v>
      </c>
      <c r="J25" s="6" t="s">
        <v>17</v>
      </c>
    </row>
    <row r="26" spans="1:10" x14ac:dyDescent="0.2">
      <c r="A26" s="4">
        <v>25</v>
      </c>
      <c r="B26" s="5" t="str">
        <f>IFERROR(INDEX(學齡前!$B:$B,MATCH(D26,學齡前!$D:$D,0)),"")</f>
        <v>D002</v>
      </c>
      <c r="C26" s="4" t="s">
        <v>10</v>
      </c>
      <c r="D26" s="6" t="s">
        <v>105</v>
      </c>
      <c r="E26" s="6" t="s">
        <v>34</v>
      </c>
      <c r="F26" s="6" t="s">
        <v>28</v>
      </c>
      <c r="G26" s="6" t="s">
        <v>106</v>
      </c>
      <c r="H26" s="6" t="s">
        <v>107</v>
      </c>
      <c r="I26" s="5" t="s">
        <v>108</v>
      </c>
      <c r="J26" s="6" t="s">
        <v>17</v>
      </c>
    </row>
    <row r="27" spans="1:10" x14ac:dyDescent="0.2">
      <c r="A27" s="4">
        <v>26</v>
      </c>
      <c r="B27" s="5" t="str">
        <f>IFERROR(INDEX(三年級!$B:$B,MATCH(D27,三年級!$D:$D,0)),"")</f>
        <v>S314</v>
      </c>
      <c r="C27" s="4" t="s">
        <v>10</v>
      </c>
      <c r="D27" s="6" t="s">
        <v>109</v>
      </c>
      <c r="E27" s="6" t="s">
        <v>12</v>
      </c>
      <c r="F27" s="6" t="s">
        <v>46</v>
      </c>
      <c r="G27" s="6" t="s">
        <v>110</v>
      </c>
      <c r="H27" s="6" t="s">
        <v>111</v>
      </c>
      <c r="I27" s="5" t="s">
        <v>112</v>
      </c>
      <c r="J27" s="6" t="s">
        <v>17</v>
      </c>
    </row>
    <row r="28" spans="1:10" x14ac:dyDescent="0.2">
      <c r="A28" s="4">
        <v>27</v>
      </c>
      <c r="B28" s="5" t="str">
        <f>IFERROR(INDEX(一年級!$B:$B,MATCH(D28,一年級!$D:$D,0)),"")</f>
        <v>S107</v>
      </c>
      <c r="C28" s="4" t="s">
        <v>10</v>
      </c>
      <c r="D28" s="6" t="s">
        <v>113</v>
      </c>
      <c r="E28" s="6" t="s">
        <v>12</v>
      </c>
      <c r="F28" s="6" t="s">
        <v>19</v>
      </c>
      <c r="G28" s="6" t="s">
        <v>110</v>
      </c>
      <c r="H28" s="6" t="s">
        <v>111</v>
      </c>
      <c r="I28" s="5" t="s">
        <v>112</v>
      </c>
      <c r="J28" s="6" t="s">
        <v>17</v>
      </c>
    </row>
    <row r="29" spans="1:10" x14ac:dyDescent="0.2">
      <c r="A29" s="4">
        <v>28</v>
      </c>
      <c r="B29" s="5" t="str">
        <f>IFERROR(INDEX(二年級!$B:$B,MATCH(D29,二年級!$D:$D,0)),"")</f>
        <v>S210</v>
      </c>
      <c r="C29" s="4" t="s">
        <v>10</v>
      </c>
      <c r="D29" s="6" t="s">
        <v>114</v>
      </c>
      <c r="E29" s="6" t="s">
        <v>34</v>
      </c>
      <c r="F29" s="6" t="s">
        <v>55</v>
      </c>
      <c r="G29" s="6" t="s">
        <v>14</v>
      </c>
      <c r="H29" s="6" t="s">
        <v>115</v>
      </c>
      <c r="I29" s="5" t="s">
        <v>116</v>
      </c>
      <c r="J29" s="6" t="s">
        <v>17</v>
      </c>
    </row>
    <row r="30" spans="1:10" x14ac:dyDescent="0.2">
      <c r="A30" s="4">
        <v>29</v>
      </c>
      <c r="B30" s="5" t="str">
        <f>IFERROR(INDEX(二年級!$B:$B,MATCH(D30,二年級!$D:$D,0)),"")</f>
        <v>S210</v>
      </c>
      <c r="C30" s="4" t="s">
        <v>10</v>
      </c>
      <c r="D30" s="6" t="s">
        <v>117</v>
      </c>
      <c r="E30" s="6" t="s">
        <v>34</v>
      </c>
      <c r="F30" s="6" t="s">
        <v>55</v>
      </c>
      <c r="G30" s="6" t="s">
        <v>14</v>
      </c>
      <c r="H30" s="6" t="s">
        <v>118</v>
      </c>
      <c r="I30" s="5" t="s">
        <v>119</v>
      </c>
      <c r="J30" s="6" t="s">
        <v>17</v>
      </c>
    </row>
    <row r="31" spans="1:10" x14ac:dyDescent="0.2">
      <c r="A31" s="4">
        <v>30</v>
      </c>
      <c r="B31" s="5" t="str">
        <f>IFERROR(INDEX(三年級!$B:$B,MATCH(D31,三年級!$D:$D,0)),"")</f>
        <v>S314</v>
      </c>
      <c r="C31" s="4" t="s">
        <v>10</v>
      </c>
      <c r="D31" s="6" t="s">
        <v>120</v>
      </c>
      <c r="E31" s="6" t="s">
        <v>12</v>
      </c>
      <c r="F31" s="6" t="s">
        <v>46</v>
      </c>
      <c r="G31" s="6" t="s">
        <v>24</v>
      </c>
      <c r="H31" s="6" t="s">
        <v>121</v>
      </c>
      <c r="I31" s="5" t="s">
        <v>122</v>
      </c>
      <c r="J31" s="6" t="s">
        <v>17</v>
      </c>
    </row>
    <row r="32" spans="1:10" x14ac:dyDescent="0.2">
      <c r="A32" s="4">
        <v>31</v>
      </c>
      <c r="B32" s="5" t="str">
        <f>IFERROR(INDEX(學齡前!$B:$B,MATCH(D32,學齡前!$D:$D,0)),"")</f>
        <v>D002</v>
      </c>
      <c r="C32" s="4" t="s">
        <v>10</v>
      </c>
      <c r="D32" s="6" t="s">
        <v>123</v>
      </c>
      <c r="E32" s="6" t="s">
        <v>34</v>
      </c>
      <c r="F32" s="6" t="s">
        <v>28</v>
      </c>
      <c r="G32" s="6" t="s">
        <v>106</v>
      </c>
      <c r="H32" s="6" t="s">
        <v>124</v>
      </c>
      <c r="I32" s="5" t="s">
        <v>125</v>
      </c>
      <c r="J32" s="6" t="s">
        <v>17</v>
      </c>
    </row>
    <row r="33" spans="1:10" x14ac:dyDescent="0.2">
      <c r="A33" s="4">
        <v>32</v>
      </c>
      <c r="B33" s="5" t="str">
        <f>IFERROR(INDEX(一年級!$B:$B,MATCH(D33,一年級!$D:$D,0)),"")</f>
        <v>S107</v>
      </c>
      <c r="C33" s="4" t="s">
        <v>10</v>
      </c>
      <c r="D33" s="6" t="s">
        <v>126</v>
      </c>
      <c r="E33" s="6" t="s">
        <v>12</v>
      </c>
      <c r="F33" s="6" t="s">
        <v>19</v>
      </c>
      <c r="G33" s="6" t="s">
        <v>127</v>
      </c>
      <c r="H33" s="6" t="s">
        <v>124</v>
      </c>
      <c r="I33" s="5" t="s">
        <v>125</v>
      </c>
      <c r="J33" s="6" t="s">
        <v>17</v>
      </c>
    </row>
    <row r="34" spans="1:10" x14ac:dyDescent="0.2">
      <c r="A34" s="4">
        <v>33</v>
      </c>
      <c r="B34" s="5" t="str">
        <f>IFERROR(INDEX(二年級!$B:$B,MATCH(D34,二年級!$D:$D,0)),"")</f>
        <v>S210</v>
      </c>
      <c r="C34" s="4" t="s">
        <v>10</v>
      </c>
      <c r="D34" s="6" t="s">
        <v>128</v>
      </c>
      <c r="E34" s="6" t="s">
        <v>34</v>
      </c>
      <c r="F34" s="6" t="s">
        <v>55</v>
      </c>
      <c r="G34" s="6" t="s">
        <v>24</v>
      </c>
      <c r="H34" s="6" t="s">
        <v>121</v>
      </c>
      <c r="I34" s="5" t="s">
        <v>122</v>
      </c>
      <c r="J34" s="6" t="s">
        <v>17</v>
      </c>
    </row>
    <row r="35" spans="1:10" x14ac:dyDescent="0.2">
      <c r="A35" s="4">
        <v>34</v>
      </c>
      <c r="B35" s="5" t="str">
        <f>IFERROR(INDEX(六年級!$B:$B,MATCH(D35,六年級!$D:$D,0)),"")</f>
        <v>S622</v>
      </c>
      <c r="C35" s="4" t="s">
        <v>129</v>
      </c>
      <c r="D35" s="6" t="s">
        <v>130</v>
      </c>
      <c r="E35" s="6" t="s">
        <v>12</v>
      </c>
      <c r="F35" s="6" t="s">
        <v>66</v>
      </c>
      <c r="G35" s="6" t="s">
        <v>131</v>
      </c>
      <c r="H35" s="6" t="s">
        <v>132</v>
      </c>
      <c r="I35" s="5" t="s">
        <v>133</v>
      </c>
      <c r="J35" s="6" t="s">
        <v>17</v>
      </c>
    </row>
    <row r="36" spans="1:10" x14ac:dyDescent="0.2">
      <c r="A36" s="4">
        <v>35</v>
      </c>
      <c r="B36" s="5" t="str">
        <f>IFERROR(INDEX(學齡前!$B:$B,MATCH(D36,學齡前!$D:$D,0)),"")</f>
        <v>D004</v>
      </c>
      <c r="C36" s="4" t="s">
        <v>134</v>
      </c>
      <c r="D36" s="6" t="s">
        <v>135</v>
      </c>
      <c r="E36" s="6" t="s">
        <v>34</v>
      </c>
      <c r="F36" s="6" t="s">
        <v>35</v>
      </c>
      <c r="G36" s="6" t="s">
        <v>35</v>
      </c>
      <c r="H36" s="6" t="s">
        <v>136</v>
      </c>
      <c r="I36" s="5" t="s">
        <v>137</v>
      </c>
      <c r="J36" s="6" t="s">
        <v>17</v>
      </c>
    </row>
    <row r="37" spans="1:10" x14ac:dyDescent="0.2">
      <c r="A37" s="4">
        <v>36</v>
      </c>
      <c r="B37" s="5" t="str">
        <f>IFERROR(INDEX(學齡前!$B:$B,MATCH(D37,學齡前!$D:$D,0)),"")</f>
        <v>D001</v>
      </c>
      <c r="C37" s="4" t="s">
        <v>138</v>
      </c>
      <c r="D37" s="6" t="s">
        <v>139</v>
      </c>
      <c r="E37" s="6" t="s">
        <v>12</v>
      </c>
      <c r="F37" s="6" t="s">
        <v>72</v>
      </c>
      <c r="G37" s="6" t="s">
        <v>72</v>
      </c>
      <c r="H37" s="6" t="s">
        <v>136</v>
      </c>
      <c r="I37" s="5" t="s">
        <v>137</v>
      </c>
      <c r="J37" s="6" t="s">
        <v>140</v>
      </c>
    </row>
    <row r="38" spans="1:10" x14ac:dyDescent="0.2">
      <c r="A38" s="4">
        <v>37</v>
      </c>
      <c r="B38" s="5" t="str">
        <f>IFERROR(INDEX(三年級!$B:$B,MATCH(D38,三年級!$D:$D,0)),"")</f>
        <v>S314</v>
      </c>
      <c r="C38" s="4" t="s">
        <v>141</v>
      </c>
      <c r="D38" s="6" t="s">
        <v>142</v>
      </c>
      <c r="E38" s="6" t="s">
        <v>12</v>
      </c>
      <c r="F38" s="6" t="s">
        <v>46</v>
      </c>
      <c r="G38" s="6" t="s">
        <v>67</v>
      </c>
      <c r="H38" s="6" t="s">
        <v>143</v>
      </c>
      <c r="I38" s="5" t="s">
        <v>144</v>
      </c>
      <c r="J38" s="6" t="s">
        <v>17</v>
      </c>
    </row>
    <row r="39" spans="1:10" x14ac:dyDescent="0.2">
      <c r="A39" s="4">
        <v>38</v>
      </c>
      <c r="B39" s="5" t="str">
        <f>IFERROR(INDEX(三年級!$B:$B,MATCH(D39,三年級!$D:$D,0)),"")</f>
        <v>S314</v>
      </c>
      <c r="C39" s="4" t="s">
        <v>145</v>
      </c>
      <c r="D39" s="6" t="s">
        <v>146</v>
      </c>
      <c r="E39" s="6" t="s">
        <v>12</v>
      </c>
      <c r="F39" s="6" t="s">
        <v>46</v>
      </c>
      <c r="G39" s="6" t="s">
        <v>147</v>
      </c>
      <c r="H39" s="6" t="s">
        <v>148</v>
      </c>
      <c r="I39" s="5" t="s">
        <v>149</v>
      </c>
      <c r="J39" s="6" t="s">
        <v>17</v>
      </c>
    </row>
    <row r="40" spans="1:10" x14ac:dyDescent="0.2">
      <c r="A40" s="4">
        <v>39</v>
      </c>
      <c r="B40" s="5" t="str">
        <f>IFERROR(INDEX(五年級!$B:$B,MATCH(D40,五年級!$D:$D,0)),"")</f>
        <v>S520</v>
      </c>
      <c r="C40" s="4" t="s">
        <v>150</v>
      </c>
      <c r="D40" s="6" t="s">
        <v>151</v>
      </c>
      <c r="E40" s="6" t="s">
        <v>12</v>
      </c>
      <c r="F40" s="6" t="s">
        <v>60</v>
      </c>
      <c r="G40" s="6" t="s">
        <v>152</v>
      </c>
      <c r="H40" s="6" t="s">
        <v>153</v>
      </c>
      <c r="I40" s="5" t="s">
        <v>154</v>
      </c>
      <c r="J40" s="6" t="s">
        <v>17</v>
      </c>
    </row>
    <row r="41" spans="1:10" x14ac:dyDescent="0.2">
      <c r="A41" s="4">
        <v>40</v>
      </c>
      <c r="B41" s="5" t="str">
        <f>IFERROR(INDEX(三年級!$B:$B,MATCH(D41,三年級!$D:$D,0)),"")</f>
        <v>S314</v>
      </c>
      <c r="C41" s="4" t="s">
        <v>155</v>
      </c>
      <c r="D41" s="6" t="s">
        <v>156</v>
      </c>
      <c r="E41" s="6" t="s">
        <v>12</v>
      </c>
      <c r="F41" s="6" t="s">
        <v>46</v>
      </c>
      <c r="G41" s="6" t="s">
        <v>157</v>
      </c>
      <c r="H41" s="6" t="s">
        <v>158</v>
      </c>
      <c r="I41" s="5" t="s">
        <v>159</v>
      </c>
      <c r="J41" s="6" t="s">
        <v>17</v>
      </c>
    </row>
    <row r="42" spans="1:10" x14ac:dyDescent="0.2">
      <c r="A42" s="4">
        <v>41</v>
      </c>
      <c r="B42" s="5" t="str">
        <f>IFERROR(INDEX(一年級!$B:$B,MATCH(D42,一年級!$D:$D,0)),"")</f>
        <v>S107</v>
      </c>
      <c r="C42" s="4" t="s">
        <v>160</v>
      </c>
      <c r="D42" s="6" t="s">
        <v>161</v>
      </c>
      <c r="E42" s="6" t="s">
        <v>34</v>
      </c>
      <c r="F42" s="6" t="s">
        <v>19</v>
      </c>
      <c r="G42" s="6" t="s">
        <v>157</v>
      </c>
      <c r="H42" s="6" t="s">
        <v>158</v>
      </c>
      <c r="I42" s="5" t="s">
        <v>159</v>
      </c>
      <c r="J42" s="6" t="s">
        <v>17</v>
      </c>
    </row>
    <row r="43" spans="1:10" x14ac:dyDescent="0.2">
      <c r="A43" s="4">
        <v>42</v>
      </c>
      <c r="B43" s="5" t="str">
        <f>IFERROR(INDEX(一年級!$B:$B,MATCH(D43,一年級!$D:$D,0)),"")</f>
        <v>S107</v>
      </c>
      <c r="C43" s="4" t="s">
        <v>162</v>
      </c>
      <c r="D43" s="6" t="s">
        <v>163</v>
      </c>
      <c r="E43" s="6" t="s">
        <v>34</v>
      </c>
      <c r="F43" s="6" t="s">
        <v>19</v>
      </c>
      <c r="G43" s="6" t="s">
        <v>47</v>
      </c>
      <c r="H43" s="6" t="s">
        <v>164</v>
      </c>
      <c r="I43" s="5" t="s">
        <v>165</v>
      </c>
      <c r="J43" s="6" t="s">
        <v>17</v>
      </c>
    </row>
    <row r="44" spans="1:10" x14ac:dyDescent="0.2">
      <c r="A44" s="4">
        <v>43</v>
      </c>
      <c r="B44" s="5" t="str">
        <f>IFERROR(INDEX(學齡前!$B:$B,MATCH(D44,學齡前!$D:$D,0)),"")</f>
        <v>D001</v>
      </c>
      <c r="C44" s="4" t="s">
        <v>166</v>
      </c>
      <c r="D44" s="6" t="s">
        <v>167</v>
      </c>
      <c r="E44" s="6" t="s">
        <v>12</v>
      </c>
      <c r="F44" s="6" t="s">
        <v>72</v>
      </c>
      <c r="G44" s="6" t="s">
        <v>168</v>
      </c>
      <c r="H44" s="6" t="s">
        <v>169</v>
      </c>
      <c r="I44" s="5" t="s">
        <v>170</v>
      </c>
      <c r="J44" s="6" t="s">
        <v>17</v>
      </c>
    </row>
    <row r="45" spans="1:10" x14ac:dyDescent="0.2">
      <c r="A45" s="4">
        <v>44</v>
      </c>
      <c r="B45" s="5" t="str">
        <f>IFERROR(INDEX(六年級!$B:$B,MATCH(D45,六年級!$D:$D,0)),"")</f>
        <v>S622</v>
      </c>
      <c r="C45" s="4" t="s">
        <v>171</v>
      </c>
      <c r="D45" s="6" t="s">
        <v>172</v>
      </c>
      <c r="E45" s="6" t="s">
        <v>12</v>
      </c>
      <c r="F45" s="6" t="s">
        <v>66</v>
      </c>
      <c r="G45" s="6" t="s">
        <v>173</v>
      </c>
      <c r="H45" s="6" t="s">
        <v>169</v>
      </c>
      <c r="I45" s="5" t="s">
        <v>170</v>
      </c>
      <c r="J45" s="6" t="s">
        <v>17</v>
      </c>
    </row>
    <row r="46" spans="1:10" x14ac:dyDescent="0.2">
      <c r="A46" s="4">
        <v>45</v>
      </c>
      <c r="B46" s="5" t="str">
        <f>IFERROR(INDEX(二年級!$B:$B,MATCH(D46,二年級!$D:$D,0)),"")</f>
        <v>S210</v>
      </c>
      <c r="C46" s="4" t="s">
        <v>174</v>
      </c>
      <c r="D46" s="6" t="s">
        <v>175</v>
      </c>
      <c r="E46" s="6" t="s">
        <v>12</v>
      </c>
      <c r="F46" s="6" t="s">
        <v>55</v>
      </c>
      <c r="G46" s="6" t="s">
        <v>176</v>
      </c>
      <c r="H46" s="6" t="s">
        <v>177</v>
      </c>
      <c r="I46" s="5" t="s">
        <v>178</v>
      </c>
      <c r="J46" s="6" t="s">
        <v>17</v>
      </c>
    </row>
    <row r="47" spans="1:10" x14ac:dyDescent="0.2">
      <c r="A47" s="4">
        <v>46</v>
      </c>
      <c r="B47" s="5" t="str">
        <f>IFERROR(INDEX(三年級!$B:$B,MATCH(D47,三年級!$D:$D,0)),"")</f>
        <v>S314</v>
      </c>
      <c r="C47" s="4" t="s">
        <v>179</v>
      </c>
      <c r="D47" s="6" t="s">
        <v>180</v>
      </c>
      <c r="E47" s="6" t="s">
        <v>12</v>
      </c>
      <c r="F47" s="6" t="s">
        <v>46</v>
      </c>
      <c r="G47" s="6" t="s">
        <v>176</v>
      </c>
      <c r="H47" s="6" t="s">
        <v>181</v>
      </c>
      <c r="I47" s="5" t="s">
        <v>182</v>
      </c>
      <c r="J47" s="6" t="s">
        <v>17</v>
      </c>
    </row>
    <row r="48" spans="1:10" x14ac:dyDescent="0.2">
      <c r="A48" s="4">
        <v>47</v>
      </c>
      <c r="B48" s="5" t="str">
        <f>IFERROR(INDEX(三年級!$B:$B,MATCH(D48,三年級!$D:$D,0)),"")</f>
        <v>S314</v>
      </c>
      <c r="C48" s="4" t="s">
        <v>183</v>
      </c>
      <c r="D48" s="6" t="s">
        <v>184</v>
      </c>
      <c r="E48" s="6" t="s">
        <v>12</v>
      </c>
      <c r="F48" s="6" t="s">
        <v>46</v>
      </c>
      <c r="G48" s="6" t="s">
        <v>185</v>
      </c>
      <c r="H48" s="6" t="s">
        <v>186</v>
      </c>
      <c r="I48" s="5" t="s">
        <v>187</v>
      </c>
      <c r="J48" s="6" t="s">
        <v>17</v>
      </c>
    </row>
    <row r="49" spans="1:10" x14ac:dyDescent="0.2">
      <c r="A49" s="4">
        <v>48</v>
      </c>
      <c r="B49" s="5" t="str">
        <f>IFERROR(INDEX(三年級!$B:$B,MATCH(D49,三年級!$D:$D,0)),"")</f>
        <v>S314</v>
      </c>
      <c r="C49" s="4" t="s">
        <v>188</v>
      </c>
      <c r="D49" s="6" t="s">
        <v>189</v>
      </c>
      <c r="E49" s="6" t="s">
        <v>12</v>
      </c>
      <c r="F49" s="6" t="s">
        <v>46</v>
      </c>
      <c r="G49" s="6" t="s">
        <v>185</v>
      </c>
      <c r="H49" s="6" t="s">
        <v>186</v>
      </c>
      <c r="I49" s="5" t="s">
        <v>187</v>
      </c>
      <c r="J49" s="6" t="s">
        <v>17</v>
      </c>
    </row>
    <row r="50" spans="1:10" x14ac:dyDescent="0.2">
      <c r="A50" s="4">
        <v>49</v>
      </c>
      <c r="B50" s="5" t="str">
        <f>IFERROR(INDEX(學齡前!$B:$B,MATCH(D50,學齡前!$D:$D,0)),"")</f>
        <v>D004</v>
      </c>
      <c r="C50" s="4" t="s">
        <v>190</v>
      </c>
      <c r="D50" s="6" t="s">
        <v>191</v>
      </c>
      <c r="E50" s="6" t="s">
        <v>34</v>
      </c>
      <c r="F50" s="6" t="s">
        <v>35</v>
      </c>
      <c r="G50" s="6" t="s">
        <v>192</v>
      </c>
      <c r="H50" s="6" t="s">
        <v>186</v>
      </c>
      <c r="I50" s="5" t="s">
        <v>187</v>
      </c>
      <c r="J50" s="6" t="s">
        <v>17</v>
      </c>
    </row>
    <row r="51" spans="1:10" x14ac:dyDescent="0.2">
      <c r="A51" s="4">
        <v>50</v>
      </c>
      <c r="B51" s="5" t="str">
        <f>IFERROR(INDEX(二年級!$B:$B,MATCH(D51,二年級!$D:$D,0)),"")</f>
        <v>S210</v>
      </c>
      <c r="C51" s="4" t="s">
        <v>193</v>
      </c>
      <c r="D51" s="6" t="s">
        <v>194</v>
      </c>
      <c r="E51" s="6" t="s">
        <v>34</v>
      </c>
      <c r="F51" s="6" t="s">
        <v>55</v>
      </c>
      <c r="G51" s="6" t="s">
        <v>195</v>
      </c>
      <c r="H51" s="6" t="s">
        <v>196</v>
      </c>
      <c r="I51" s="5" t="s">
        <v>197</v>
      </c>
      <c r="J51" s="6" t="s">
        <v>17</v>
      </c>
    </row>
    <row r="52" spans="1:10" x14ac:dyDescent="0.2">
      <c r="A52" s="4">
        <v>51</v>
      </c>
      <c r="B52" s="5" t="str">
        <f>IFERROR(INDEX(四年級!$B:$B,MATCH(D52,四年級!$D:$D,0)),"")</f>
        <v>S417</v>
      </c>
      <c r="C52" s="4" t="s">
        <v>198</v>
      </c>
      <c r="D52" s="6" t="s">
        <v>199</v>
      </c>
      <c r="E52" s="6" t="s">
        <v>34</v>
      </c>
      <c r="F52" s="6" t="s">
        <v>13</v>
      </c>
      <c r="G52" s="6" t="s">
        <v>195</v>
      </c>
      <c r="H52" s="6" t="s">
        <v>196</v>
      </c>
      <c r="I52" s="5" t="s">
        <v>197</v>
      </c>
      <c r="J52" s="6" t="s">
        <v>17</v>
      </c>
    </row>
    <row r="53" spans="1:10" x14ac:dyDescent="0.2">
      <c r="A53" s="4">
        <v>52</v>
      </c>
      <c r="B53" s="5" t="str">
        <f>IFERROR(INDEX(學齡前!$B:$B,MATCH(D53,學齡前!$D:$D,0)),"")</f>
        <v>D001</v>
      </c>
      <c r="C53" s="4" t="s">
        <v>200</v>
      </c>
      <c r="D53" s="6" t="s">
        <v>201</v>
      </c>
      <c r="E53" s="6" t="s">
        <v>12</v>
      </c>
      <c r="F53" s="6" t="s">
        <v>72</v>
      </c>
      <c r="G53" s="6" t="s">
        <v>202</v>
      </c>
      <c r="H53" s="6" t="s">
        <v>203</v>
      </c>
      <c r="I53" s="5" t="s">
        <v>204</v>
      </c>
      <c r="J53" s="6" t="s">
        <v>17</v>
      </c>
    </row>
    <row r="54" spans="1:10" x14ac:dyDescent="0.2">
      <c r="A54" s="4">
        <v>53</v>
      </c>
      <c r="B54" s="5" t="str">
        <f>IFERROR(INDEX(學齡前!$B:$B,MATCH(D54,學齡前!$D:$D,0)),"")</f>
        <v>D004</v>
      </c>
      <c r="C54" s="4" t="s">
        <v>205</v>
      </c>
      <c r="D54" s="6" t="s">
        <v>206</v>
      </c>
      <c r="E54" s="6" t="s">
        <v>12</v>
      </c>
      <c r="F54" s="6" t="s">
        <v>35</v>
      </c>
      <c r="G54" s="6" t="s">
        <v>207</v>
      </c>
      <c r="H54" s="6" t="s">
        <v>208</v>
      </c>
      <c r="I54" s="5" t="s">
        <v>209</v>
      </c>
      <c r="J54" s="6" t="s">
        <v>17</v>
      </c>
    </row>
    <row r="55" spans="1:10" x14ac:dyDescent="0.2">
      <c r="A55" s="4">
        <v>54</v>
      </c>
      <c r="B55" s="5" t="str">
        <f>IFERROR(INDEX(二年級!$B:$B,MATCH(D55,二年級!$D:$D,0)),"")</f>
        <v>S210</v>
      </c>
      <c r="C55" s="4" t="s">
        <v>210</v>
      </c>
      <c r="D55" s="6" t="s">
        <v>211</v>
      </c>
      <c r="E55" s="6" t="s">
        <v>34</v>
      </c>
      <c r="F55" s="6" t="s">
        <v>55</v>
      </c>
      <c r="G55" s="6" t="s">
        <v>212</v>
      </c>
      <c r="H55" s="6" t="s">
        <v>213</v>
      </c>
      <c r="I55" s="5" t="s">
        <v>214</v>
      </c>
      <c r="J55" s="6" t="s">
        <v>17</v>
      </c>
    </row>
    <row r="56" spans="1:10" x14ac:dyDescent="0.2">
      <c r="A56" s="4">
        <v>55</v>
      </c>
      <c r="B56" s="5" t="str">
        <f>IFERROR(INDEX(三年級!$B:$B,MATCH(D56,三年級!$D:$D,0)),"")</f>
        <v>S314</v>
      </c>
      <c r="C56" s="4" t="s">
        <v>215</v>
      </c>
      <c r="D56" s="6" t="s">
        <v>216</v>
      </c>
      <c r="E56" s="6" t="s">
        <v>12</v>
      </c>
      <c r="F56" s="6" t="s">
        <v>46</v>
      </c>
      <c r="G56" s="6" t="s">
        <v>212</v>
      </c>
      <c r="H56" s="6" t="s">
        <v>213</v>
      </c>
      <c r="I56" s="5" t="s">
        <v>214</v>
      </c>
      <c r="J56" s="6" t="s">
        <v>17</v>
      </c>
    </row>
    <row r="57" spans="1:10" x14ac:dyDescent="0.2">
      <c r="A57" s="4">
        <v>56</v>
      </c>
      <c r="B57" s="5" t="str">
        <f>IFERROR(INDEX(二年級!$B:$B,MATCH(D57,二年級!$D:$D,0)),"")</f>
        <v>S210</v>
      </c>
      <c r="C57" s="4" t="s">
        <v>217</v>
      </c>
      <c r="D57" s="6" t="s">
        <v>218</v>
      </c>
      <c r="E57" s="6" t="s">
        <v>34</v>
      </c>
      <c r="F57" s="6" t="s">
        <v>55</v>
      </c>
      <c r="G57" s="6" t="s">
        <v>219</v>
      </c>
      <c r="H57" s="6" t="s">
        <v>220</v>
      </c>
      <c r="I57" s="5" t="s">
        <v>221</v>
      </c>
      <c r="J57" s="6" t="s">
        <v>17</v>
      </c>
    </row>
    <row r="58" spans="1:10" x14ac:dyDescent="0.2">
      <c r="A58" s="4">
        <v>57</v>
      </c>
      <c r="B58" s="5" t="str">
        <f>IFERROR(INDEX(學齡前!$B:$B,MATCH(D58,學齡前!$D:$D,0)),"")</f>
        <v>D004</v>
      </c>
      <c r="C58" s="4" t="s">
        <v>222</v>
      </c>
      <c r="D58" s="6" t="s">
        <v>223</v>
      </c>
      <c r="E58" s="6" t="s">
        <v>12</v>
      </c>
      <c r="F58" s="6" t="s">
        <v>35</v>
      </c>
      <c r="G58" s="6" t="s">
        <v>224</v>
      </c>
      <c r="H58" s="6" t="s">
        <v>220</v>
      </c>
      <c r="I58" s="5" t="s">
        <v>221</v>
      </c>
      <c r="J58" s="6" t="s">
        <v>17</v>
      </c>
    </row>
    <row r="59" spans="1:10" x14ac:dyDescent="0.2">
      <c r="A59" s="4">
        <v>58</v>
      </c>
      <c r="B59" s="5" t="str">
        <f>IFERROR(INDEX(學齡前!$B:$B,MATCH(D59,學齡前!$D:$D,0)),"")</f>
        <v>D004</v>
      </c>
      <c r="C59" s="4" t="s">
        <v>225</v>
      </c>
      <c r="D59" s="6" t="s">
        <v>226</v>
      </c>
      <c r="E59" s="6" t="s">
        <v>12</v>
      </c>
      <c r="F59" s="6" t="s">
        <v>35</v>
      </c>
      <c r="G59" s="6" t="s">
        <v>227</v>
      </c>
      <c r="H59" s="6" t="s">
        <v>228</v>
      </c>
      <c r="I59" s="5" t="s">
        <v>229</v>
      </c>
      <c r="J59" s="6" t="s">
        <v>17</v>
      </c>
    </row>
    <row r="60" spans="1:10" x14ac:dyDescent="0.2">
      <c r="A60" s="4">
        <v>59</v>
      </c>
      <c r="B60" s="5" t="str">
        <f>IFERROR(INDEX(學齡前!$B:$B,MATCH(D60,學齡前!$D:$D,0)),"")</f>
        <v>D002</v>
      </c>
      <c r="C60" s="4" t="s">
        <v>230</v>
      </c>
      <c r="D60" s="6" t="s">
        <v>231</v>
      </c>
      <c r="E60" s="6" t="s">
        <v>12</v>
      </c>
      <c r="F60" s="6" t="s">
        <v>28</v>
      </c>
      <c r="G60" s="6" t="s">
        <v>227</v>
      </c>
      <c r="H60" s="6" t="s">
        <v>228</v>
      </c>
      <c r="I60" s="5" t="s">
        <v>229</v>
      </c>
      <c r="J60" s="6" t="s">
        <v>17</v>
      </c>
    </row>
    <row r="61" spans="1:10" x14ac:dyDescent="0.2">
      <c r="A61" s="4">
        <v>60</v>
      </c>
      <c r="B61" s="5" t="str">
        <f>IFERROR(INDEX(五年級!$B:$B,MATCH(D61,五年級!$D:$D,0)),"")</f>
        <v>S520</v>
      </c>
      <c r="C61" s="4" t="s">
        <v>232</v>
      </c>
      <c r="D61" s="6" t="s">
        <v>233</v>
      </c>
      <c r="E61" s="6" t="s">
        <v>12</v>
      </c>
      <c r="F61" s="6" t="s">
        <v>60</v>
      </c>
      <c r="G61" s="6" t="s">
        <v>98</v>
      </c>
      <c r="H61" s="6" t="s">
        <v>234</v>
      </c>
      <c r="I61" s="5" t="s">
        <v>235</v>
      </c>
      <c r="J61" s="6" t="s">
        <v>17</v>
      </c>
    </row>
    <row r="62" spans="1:10" x14ac:dyDescent="0.2">
      <c r="A62" s="4">
        <v>61</v>
      </c>
      <c r="B62" s="5" t="str">
        <f>IFERROR(INDEX(三年級!$B:$B,MATCH(D62,三年級!$D:$D,0)),"")</f>
        <v>S314</v>
      </c>
      <c r="C62" s="4" t="s">
        <v>236</v>
      </c>
      <c r="D62" s="6" t="s">
        <v>237</v>
      </c>
      <c r="E62" s="6" t="s">
        <v>12</v>
      </c>
      <c r="F62" s="6" t="s">
        <v>46</v>
      </c>
      <c r="G62" s="6" t="s">
        <v>88</v>
      </c>
      <c r="H62" s="6" t="s">
        <v>238</v>
      </c>
      <c r="I62" s="5" t="s">
        <v>239</v>
      </c>
      <c r="J62" s="6" t="s">
        <v>17</v>
      </c>
    </row>
    <row r="63" spans="1:10" x14ac:dyDescent="0.2">
      <c r="A63" s="4">
        <v>62</v>
      </c>
      <c r="B63" s="5" t="str">
        <f>IFERROR(INDEX(學齡前!$B:$B,MATCH(D63,學齡前!$D:$D,0)),"")</f>
        <v>D004</v>
      </c>
      <c r="C63" s="4" t="s">
        <v>240</v>
      </c>
      <c r="D63" s="6" t="s">
        <v>241</v>
      </c>
      <c r="E63" s="6" t="s">
        <v>12</v>
      </c>
      <c r="F63" s="6" t="s">
        <v>35</v>
      </c>
      <c r="G63" s="6" t="s">
        <v>242</v>
      </c>
      <c r="H63" s="6" t="s">
        <v>243</v>
      </c>
      <c r="I63" s="5" t="s">
        <v>244</v>
      </c>
      <c r="J63" s="6" t="s">
        <v>17</v>
      </c>
    </row>
    <row r="64" spans="1:10" x14ac:dyDescent="0.2">
      <c r="A64" s="4">
        <v>63</v>
      </c>
      <c r="B64" s="5" t="str">
        <f>IFERROR(INDEX(二年級!$B:$B,MATCH(D64,二年級!$D:$D,0)),"")</f>
        <v>S211</v>
      </c>
      <c r="C64" s="4" t="s">
        <v>245</v>
      </c>
      <c r="D64" s="6" t="s">
        <v>246</v>
      </c>
      <c r="E64" s="6" t="s">
        <v>34</v>
      </c>
      <c r="F64" s="6" t="s">
        <v>55</v>
      </c>
      <c r="G64" s="6" t="s">
        <v>157</v>
      </c>
      <c r="H64" s="6" t="s">
        <v>247</v>
      </c>
      <c r="I64" s="5" t="s">
        <v>248</v>
      </c>
      <c r="J64" s="6" t="s">
        <v>17</v>
      </c>
    </row>
    <row r="65" spans="1:10" x14ac:dyDescent="0.2">
      <c r="A65" s="4">
        <v>64</v>
      </c>
      <c r="B65" s="5" t="str">
        <f>IFERROR(INDEX(學齡前!$B:$B,MATCH(D65,學齡前!$D:$D,0)),"")</f>
        <v>D002</v>
      </c>
      <c r="C65" s="4" t="s">
        <v>249</v>
      </c>
      <c r="D65" s="6" t="s">
        <v>250</v>
      </c>
      <c r="E65" s="6" t="s">
        <v>12</v>
      </c>
      <c r="F65" s="6" t="s">
        <v>28</v>
      </c>
      <c r="G65" s="6" t="s">
        <v>251</v>
      </c>
      <c r="H65" s="6" t="s">
        <v>252</v>
      </c>
      <c r="I65" s="5" t="s">
        <v>253</v>
      </c>
      <c r="J65" s="6" t="s">
        <v>17</v>
      </c>
    </row>
    <row r="66" spans="1:10" x14ac:dyDescent="0.2">
      <c r="A66" s="4">
        <v>65</v>
      </c>
      <c r="B66" s="5" t="str">
        <f>IFERROR(INDEX(學齡前!$B:$B,MATCH(D66,學齡前!$D:$D,0)),"")</f>
        <v>D002</v>
      </c>
      <c r="C66" s="4" t="s">
        <v>254</v>
      </c>
      <c r="D66" s="6" t="s">
        <v>255</v>
      </c>
      <c r="E66" s="6" t="s">
        <v>12</v>
      </c>
      <c r="F66" s="6" t="s">
        <v>28</v>
      </c>
      <c r="G66" s="6" t="s">
        <v>256</v>
      </c>
      <c r="H66" s="6" t="s">
        <v>257</v>
      </c>
      <c r="I66" s="5" t="s">
        <v>258</v>
      </c>
      <c r="J66" s="6" t="s">
        <v>17</v>
      </c>
    </row>
    <row r="67" spans="1:10" x14ac:dyDescent="0.2">
      <c r="A67" s="4">
        <v>66</v>
      </c>
      <c r="B67" s="5" t="str">
        <f>IFERROR(INDEX(學齡前!$B:$B,MATCH(D67,學齡前!$D:$D,0)),"")</f>
        <v>D004</v>
      </c>
      <c r="C67" s="4" t="s">
        <v>259</v>
      </c>
      <c r="D67" s="6" t="s">
        <v>260</v>
      </c>
      <c r="E67" s="6" t="s">
        <v>34</v>
      </c>
      <c r="F67" s="6" t="s">
        <v>35</v>
      </c>
      <c r="G67" s="6" t="s">
        <v>261</v>
      </c>
      <c r="H67" s="6" t="s">
        <v>262</v>
      </c>
      <c r="I67" s="5" t="s">
        <v>263</v>
      </c>
      <c r="J67" s="6" t="s">
        <v>17</v>
      </c>
    </row>
    <row r="68" spans="1:10" x14ac:dyDescent="0.2">
      <c r="A68" s="4">
        <v>67</v>
      </c>
      <c r="B68" s="5" t="str">
        <f>IFERROR(INDEX(學齡前!$B:$B,MATCH(D68,學齡前!$D:$D,0)),"")</f>
        <v>D001</v>
      </c>
      <c r="C68" s="4" t="s">
        <v>264</v>
      </c>
      <c r="D68" s="6" t="s">
        <v>265</v>
      </c>
      <c r="E68" s="6" t="s">
        <v>12</v>
      </c>
      <c r="F68" s="6" t="s">
        <v>72</v>
      </c>
      <c r="G68" s="6" t="s">
        <v>261</v>
      </c>
      <c r="H68" s="6" t="s">
        <v>262</v>
      </c>
      <c r="I68" s="5" t="s">
        <v>263</v>
      </c>
      <c r="J68" s="6" t="s">
        <v>17</v>
      </c>
    </row>
    <row r="69" spans="1:10" x14ac:dyDescent="0.2">
      <c r="A69" s="4">
        <v>68</v>
      </c>
      <c r="B69" s="5" t="str">
        <f>IFERROR(INDEX(學齡前!$B:$B,MATCH(D69,學齡前!$D:$D,0)),"")</f>
        <v>D002</v>
      </c>
      <c r="C69" s="4" t="s">
        <v>266</v>
      </c>
      <c r="D69" s="6" t="s">
        <v>267</v>
      </c>
      <c r="E69" s="6" t="s">
        <v>34</v>
      </c>
      <c r="F69" s="6" t="s">
        <v>28</v>
      </c>
      <c r="G69" s="6" t="s">
        <v>268</v>
      </c>
      <c r="H69" s="6" t="s">
        <v>269</v>
      </c>
      <c r="I69" s="5" t="s">
        <v>270</v>
      </c>
      <c r="J69" s="6" t="s">
        <v>17</v>
      </c>
    </row>
    <row r="70" spans="1:10" x14ac:dyDescent="0.2">
      <c r="A70" s="4">
        <v>69</v>
      </c>
      <c r="B70" s="5" t="str">
        <f>IFERROR(INDEX(五年級!$B:$B,MATCH(D70,五年級!$D:$D,0)),"")</f>
        <v>S520</v>
      </c>
      <c r="C70" s="4" t="s">
        <v>271</v>
      </c>
      <c r="D70" s="6" t="s">
        <v>272</v>
      </c>
      <c r="E70" s="6" t="s">
        <v>34</v>
      </c>
      <c r="F70" s="6" t="s">
        <v>60</v>
      </c>
      <c r="G70" s="6" t="s">
        <v>157</v>
      </c>
      <c r="H70" s="6" t="s">
        <v>273</v>
      </c>
      <c r="I70" s="5" t="s">
        <v>274</v>
      </c>
      <c r="J70" s="6" t="s">
        <v>17</v>
      </c>
    </row>
    <row r="71" spans="1:10" x14ac:dyDescent="0.2">
      <c r="A71" s="4">
        <v>70</v>
      </c>
      <c r="B71" s="5" t="str">
        <f>IFERROR(INDEX(三年級!$B:$B,MATCH(D71,三年級!$D:$D,0)),"")</f>
        <v>S314</v>
      </c>
      <c r="C71" s="4" t="s">
        <v>275</v>
      </c>
      <c r="D71" s="6" t="s">
        <v>276</v>
      </c>
      <c r="E71" s="6" t="s">
        <v>12</v>
      </c>
      <c r="F71" s="6" t="s">
        <v>46</v>
      </c>
      <c r="G71" s="6" t="s">
        <v>157</v>
      </c>
      <c r="H71" s="6" t="s">
        <v>273</v>
      </c>
      <c r="I71" s="5" t="s">
        <v>274</v>
      </c>
      <c r="J71" s="6" t="s">
        <v>17</v>
      </c>
    </row>
    <row r="72" spans="1:10" x14ac:dyDescent="0.2">
      <c r="A72" s="4">
        <v>71</v>
      </c>
      <c r="B72" s="5" t="str">
        <f>IFERROR(INDEX(學齡前!$B:$B,MATCH(D72,學齡前!$D:$D,0)),"")</f>
        <v>D002</v>
      </c>
      <c r="C72" s="4" t="s">
        <v>277</v>
      </c>
      <c r="D72" s="6" t="s">
        <v>278</v>
      </c>
      <c r="E72" s="6" t="s">
        <v>34</v>
      </c>
      <c r="F72" s="6" t="s">
        <v>28</v>
      </c>
      <c r="G72" s="6" t="s">
        <v>157</v>
      </c>
      <c r="H72" s="6" t="s">
        <v>273</v>
      </c>
      <c r="I72" s="5" t="s">
        <v>274</v>
      </c>
      <c r="J72" s="6" t="s">
        <v>279</v>
      </c>
    </row>
    <row r="73" spans="1:10" x14ac:dyDescent="0.2">
      <c r="A73" s="4">
        <v>72</v>
      </c>
      <c r="B73" s="5" t="str">
        <f>IFERROR(INDEX(五年級!$B:$B,MATCH(D73,五年級!$D:$D,0)),"")</f>
        <v>S520</v>
      </c>
      <c r="C73" s="4" t="s">
        <v>280</v>
      </c>
      <c r="D73" s="6" t="s">
        <v>281</v>
      </c>
      <c r="E73" s="6" t="s">
        <v>34</v>
      </c>
      <c r="F73" s="6" t="s">
        <v>60</v>
      </c>
      <c r="G73" s="6" t="s">
        <v>157</v>
      </c>
      <c r="H73" s="6" t="s">
        <v>282</v>
      </c>
      <c r="I73" s="5" t="s">
        <v>283</v>
      </c>
      <c r="J73" s="6" t="s">
        <v>284</v>
      </c>
    </row>
    <row r="74" spans="1:10" x14ac:dyDescent="0.2">
      <c r="A74" s="4">
        <v>73</v>
      </c>
      <c r="B74" s="5" t="str">
        <f>IFERROR(INDEX(四年級!$B:$B,MATCH(D74,四年級!$D:$D,0)),"")</f>
        <v>S417</v>
      </c>
      <c r="C74" s="4" t="s">
        <v>285</v>
      </c>
      <c r="D74" s="6" t="s">
        <v>286</v>
      </c>
      <c r="E74" s="6" t="s">
        <v>12</v>
      </c>
      <c r="F74" s="6" t="s">
        <v>13</v>
      </c>
      <c r="G74" s="6" t="s">
        <v>157</v>
      </c>
      <c r="H74" s="6" t="s">
        <v>282</v>
      </c>
      <c r="I74" s="5" t="s">
        <v>283</v>
      </c>
      <c r="J74" s="6" t="s">
        <v>287</v>
      </c>
    </row>
    <row r="75" spans="1:10" x14ac:dyDescent="0.2">
      <c r="A75" s="4">
        <v>74</v>
      </c>
      <c r="B75" s="5" t="str">
        <f>IFERROR(INDEX(二年級!$B:$B,MATCH(D75,二年級!$D:$D,0)),"")</f>
        <v>S211</v>
      </c>
      <c r="C75" s="4" t="s">
        <v>288</v>
      </c>
      <c r="D75" s="6" t="s">
        <v>289</v>
      </c>
      <c r="E75" s="6" t="s">
        <v>34</v>
      </c>
      <c r="F75" s="6" t="s">
        <v>55</v>
      </c>
      <c r="G75" s="6" t="s">
        <v>157</v>
      </c>
      <c r="H75" s="6" t="s">
        <v>282</v>
      </c>
      <c r="I75" s="5" t="s">
        <v>283</v>
      </c>
      <c r="J75" s="6" t="s">
        <v>17</v>
      </c>
    </row>
    <row r="76" spans="1:10" x14ac:dyDescent="0.2">
      <c r="A76" s="4">
        <v>75</v>
      </c>
      <c r="B76" s="5" t="str">
        <f>IFERROR(INDEX(三年級!$B:$B,MATCH(D76,三年級!$D:$D,0)),"")</f>
        <v>S315</v>
      </c>
      <c r="C76" s="4" t="s">
        <v>290</v>
      </c>
      <c r="D76" s="6" t="s">
        <v>291</v>
      </c>
      <c r="E76" s="6" t="s">
        <v>34</v>
      </c>
      <c r="F76" s="6" t="s">
        <v>46</v>
      </c>
      <c r="G76" s="6" t="s">
        <v>157</v>
      </c>
      <c r="H76" s="6" t="s">
        <v>292</v>
      </c>
      <c r="I76" s="5" t="s">
        <v>293</v>
      </c>
      <c r="J76" s="6" t="s">
        <v>294</v>
      </c>
    </row>
    <row r="77" spans="1:10" x14ac:dyDescent="0.2">
      <c r="A77" s="4">
        <v>76</v>
      </c>
      <c r="B77" s="5" t="str">
        <f>IFERROR(INDEX(一年級!$B:$B,MATCH(D77,一年級!$D:$D,0)),"")</f>
        <v>S107</v>
      </c>
      <c r="C77" s="4" t="s">
        <v>295</v>
      </c>
      <c r="D77" s="6" t="s">
        <v>296</v>
      </c>
      <c r="E77" s="6" t="s">
        <v>34</v>
      </c>
      <c r="F77" s="6" t="s">
        <v>19</v>
      </c>
      <c r="G77" s="6" t="s">
        <v>297</v>
      </c>
      <c r="H77" s="6" t="s">
        <v>292</v>
      </c>
      <c r="I77" s="5" t="s">
        <v>293</v>
      </c>
      <c r="J77" s="6" t="s">
        <v>17</v>
      </c>
    </row>
    <row r="78" spans="1:10" x14ac:dyDescent="0.2">
      <c r="A78" s="4">
        <v>77</v>
      </c>
      <c r="B78" s="5" t="str">
        <f>IFERROR(INDEX(四年級!$B:$B,MATCH(D78,四年級!$D:$D,0)),"")</f>
        <v>S417</v>
      </c>
      <c r="C78" s="4" t="s">
        <v>298</v>
      </c>
      <c r="D78" s="6" t="s">
        <v>299</v>
      </c>
      <c r="E78" s="6" t="s">
        <v>34</v>
      </c>
      <c r="F78" s="6" t="s">
        <v>13</v>
      </c>
      <c r="G78" s="6" t="s">
        <v>88</v>
      </c>
      <c r="H78" s="6" t="s">
        <v>300</v>
      </c>
      <c r="I78" s="5" t="s">
        <v>301</v>
      </c>
      <c r="J78" s="6" t="s">
        <v>302</v>
      </c>
    </row>
    <row r="79" spans="1:10" x14ac:dyDescent="0.2">
      <c r="A79" s="4">
        <v>78</v>
      </c>
      <c r="B79" s="5" t="str">
        <f>IFERROR(INDEX(二年級!$B:$B,MATCH(D79,二年級!$D:$D,0)),"")</f>
        <v>S211</v>
      </c>
      <c r="C79" s="4" t="s">
        <v>303</v>
      </c>
      <c r="D79" s="6" t="s">
        <v>304</v>
      </c>
      <c r="E79" s="6" t="s">
        <v>12</v>
      </c>
      <c r="F79" s="6" t="s">
        <v>55</v>
      </c>
      <c r="G79" s="6" t="s">
        <v>88</v>
      </c>
      <c r="H79" s="6" t="s">
        <v>300</v>
      </c>
      <c r="I79" s="5" t="s">
        <v>301</v>
      </c>
      <c r="J79" s="6" t="s">
        <v>17</v>
      </c>
    </row>
    <row r="80" spans="1:10" x14ac:dyDescent="0.2">
      <c r="A80" s="4">
        <v>79</v>
      </c>
      <c r="B80" s="5" t="str">
        <f>IFERROR(INDEX(六年級!$B:$B,MATCH(D80,六年級!$D:$D,0)),"")</f>
        <v>S622</v>
      </c>
      <c r="C80" s="4" t="s">
        <v>305</v>
      </c>
      <c r="D80" s="6" t="s">
        <v>306</v>
      </c>
      <c r="E80" s="6" t="s">
        <v>34</v>
      </c>
      <c r="F80" s="6" t="s">
        <v>66</v>
      </c>
      <c r="G80" s="6" t="s">
        <v>98</v>
      </c>
      <c r="H80" s="6" t="s">
        <v>307</v>
      </c>
      <c r="I80" s="5" t="s">
        <v>308</v>
      </c>
      <c r="J80" s="6" t="s">
        <v>17</v>
      </c>
    </row>
    <row r="81" spans="1:10" x14ac:dyDescent="0.2">
      <c r="A81" s="4">
        <v>80</v>
      </c>
      <c r="B81" s="5" t="str">
        <f>IFERROR(INDEX(四年級!$B:$B,MATCH(D81,四年級!$D:$D,0)),"")</f>
        <v>S417</v>
      </c>
      <c r="C81" s="4" t="s">
        <v>309</v>
      </c>
      <c r="D81" s="6" t="s">
        <v>310</v>
      </c>
      <c r="E81" s="6" t="s">
        <v>12</v>
      </c>
      <c r="F81" s="6" t="s">
        <v>13</v>
      </c>
      <c r="G81" s="6" t="s">
        <v>98</v>
      </c>
      <c r="H81" s="6" t="s">
        <v>307</v>
      </c>
      <c r="I81" s="5" t="s">
        <v>308</v>
      </c>
      <c r="J81" s="6" t="s">
        <v>17</v>
      </c>
    </row>
    <row r="82" spans="1:10" x14ac:dyDescent="0.2">
      <c r="A82" s="4">
        <v>81</v>
      </c>
      <c r="B82" s="5" t="str">
        <f>IFERROR(INDEX(一年級!$B:$B,MATCH(D82,一年級!$D:$D,0)),"")</f>
        <v>S107</v>
      </c>
      <c r="C82" s="4" t="s">
        <v>311</v>
      </c>
      <c r="D82" s="6" t="s">
        <v>312</v>
      </c>
      <c r="E82" s="6" t="s">
        <v>34</v>
      </c>
      <c r="F82" s="6" t="s">
        <v>19</v>
      </c>
      <c r="G82" s="6" t="s">
        <v>176</v>
      </c>
      <c r="H82" s="6" t="s">
        <v>313</v>
      </c>
      <c r="I82" s="5" t="s">
        <v>314</v>
      </c>
      <c r="J82" s="6" t="s">
        <v>17</v>
      </c>
    </row>
    <row r="83" spans="1:10" x14ac:dyDescent="0.2">
      <c r="A83" s="4">
        <v>82</v>
      </c>
      <c r="B83" s="5" t="str">
        <f>IFERROR(INDEX(四年級!$B:$B,MATCH(D83,四年級!$D:$D,0)),"")</f>
        <v>S417</v>
      </c>
      <c r="C83" s="4" t="s">
        <v>315</v>
      </c>
      <c r="D83" s="6" t="s">
        <v>316</v>
      </c>
      <c r="E83" s="6" t="s">
        <v>34</v>
      </c>
      <c r="F83" s="6" t="s">
        <v>13</v>
      </c>
      <c r="G83" s="6" t="s">
        <v>176</v>
      </c>
      <c r="H83" s="6" t="s">
        <v>313</v>
      </c>
      <c r="I83" s="5" t="s">
        <v>314</v>
      </c>
      <c r="J83" s="6" t="s">
        <v>17</v>
      </c>
    </row>
    <row r="84" spans="1:10" x14ac:dyDescent="0.2">
      <c r="A84" s="4">
        <v>83</v>
      </c>
      <c r="B84" s="5" t="str">
        <f>IFERROR(INDEX(學齡前!$B:$B,MATCH(D84,學齡前!$D:$D,0)),"")</f>
        <v>D003</v>
      </c>
      <c r="C84" s="4" t="s">
        <v>317</v>
      </c>
      <c r="D84" s="6" t="s">
        <v>318</v>
      </c>
      <c r="E84" s="6" t="s">
        <v>34</v>
      </c>
      <c r="F84" s="6" t="s">
        <v>28</v>
      </c>
      <c r="G84" s="6" t="s">
        <v>268</v>
      </c>
      <c r="H84" s="6" t="s">
        <v>319</v>
      </c>
      <c r="I84" s="5" t="s">
        <v>320</v>
      </c>
      <c r="J84" s="6" t="s">
        <v>17</v>
      </c>
    </row>
    <row r="85" spans="1:10" x14ac:dyDescent="0.2">
      <c r="A85" s="4">
        <v>84</v>
      </c>
      <c r="B85" s="5" t="str">
        <f>IFERROR(INDEX(二年級!$B:$B,MATCH(D85,二年級!$D:$D,0)),"")</f>
        <v>S211</v>
      </c>
      <c r="C85" s="4" t="s">
        <v>321</v>
      </c>
      <c r="D85" s="6" t="s">
        <v>322</v>
      </c>
      <c r="E85" s="6" t="s">
        <v>34</v>
      </c>
      <c r="F85" s="6" t="s">
        <v>55</v>
      </c>
      <c r="G85" s="6" t="s">
        <v>323</v>
      </c>
      <c r="H85" s="6" t="s">
        <v>324</v>
      </c>
      <c r="I85" s="5" t="s">
        <v>325</v>
      </c>
      <c r="J85" s="6" t="s">
        <v>17</v>
      </c>
    </row>
    <row r="86" spans="1:10" x14ac:dyDescent="0.2">
      <c r="A86" s="4">
        <v>85</v>
      </c>
      <c r="B86" s="5" t="str">
        <f>IFERROR(INDEX(學齡前!$B:$B,MATCH(D86,學齡前!$D:$D,0)),"")</f>
        <v>D003</v>
      </c>
      <c r="C86" s="4" t="s">
        <v>326</v>
      </c>
      <c r="D86" s="6" t="s">
        <v>327</v>
      </c>
      <c r="E86" s="6" t="s">
        <v>34</v>
      </c>
      <c r="F86" s="6" t="s">
        <v>28</v>
      </c>
      <c r="G86" s="6" t="s">
        <v>328</v>
      </c>
      <c r="H86" s="6" t="s">
        <v>329</v>
      </c>
      <c r="I86" s="5" t="s">
        <v>330</v>
      </c>
      <c r="J86" s="6" t="s">
        <v>17</v>
      </c>
    </row>
    <row r="87" spans="1:10" x14ac:dyDescent="0.2">
      <c r="A87" s="4">
        <v>86</v>
      </c>
      <c r="B87" s="5" t="str">
        <f>IFERROR(INDEX(學齡前!$B:$B,MATCH(D87,學齡前!$D:$D,0)),"")</f>
        <v>D003</v>
      </c>
      <c r="C87" s="4" t="s">
        <v>331</v>
      </c>
      <c r="D87" s="6" t="s">
        <v>332</v>
      </c>
      <c r="E87" s="6" t="s">
        <v>34</v>
      </c>
      <c r="F87" s="6" t="s">
        <v>28</v>
      </c>
      <c r="G87" s="6" t="s">
        <v>328</v>
      </c>
      <c r="H87" s="6" t="s">
        <v>329</v>
      </c>
      <c r="I87" s="5" t="s">
        <v>330</v>
      </c>
      <c r="J87" s="6" t="s">
        <v>17</v>
      </c>
    </row>
    <row r="88" spans="1:10" x14ac:dyDescent="0.2">
      <c r="A88" s="4">
        <v>87</v>
      </c>
      <c r="B88" s="5" t="str">
        <f>IFERROR(INDEX(一年級!$B:$B,MATCH(D88,一年級!$D:$D,0)),"")</f>
        <v>S107</v>
      </c>
      <c r="C88" s="4" t="s">
        <v>333</v>
      </c>
      <c r="D88" s="6" t="s">
        <v>334</v>
      </c>
      <c r="E88" s="6" t="s">
        <v>34</v>
      </c>
      <c r="F88" s="6" t="s">
        <v>19</v>
      </c>
      <c r="G88" s="6" t="s">
        <v>157</v>
      </c>
      <c r="H88" s="6" t="s">
        <v>335</v>
      </c>
      <c r="I88" s="5" t="s">
        <v>336</v>
      </c>
      <c r="J88" s="6" t="s">
        <v>17</v>
      </c>
    </row>
    <row r="89" spans="1:10" x14ac:dyDescent="0.2">
      <c r="A89" s="4">
        <v>88</v>
      </c>
      <c r="B89" s="5" t="str">
        <f>IFERROR(INDEX(六年級!$B:$B,MATCH(D89,六年級!$D:$D,0)),"")</f>
        <v>S622</v>
      </c>
      <c r="C89" s="4" t="s">
        <v>337</v>
      </c>
      <c r="D89" s="6" t="s">
        <v>338</v>
      </c>
      <c r="E89" s="6" t="s">
        <v>34</v>
      </c>
      <c r="F89" s="6" t="s">
        <v>66</v>
      </c>
      <c r="G89" s="6" t="s">
        <v>98</v>
      </c>
      <c r="H89" s="6" t="s">
        <v>339</v>
      </c>
      <c r="I89" s="5" t="s">
        <v>340</v>
      </c>
      <c r="J89" s="6" t="s">
        <v>17</v>
      </c>
    </row>
    <row r="90" spans="1:10" x14ac:dyDescent="0.2">
      <c r="A90" s="4">
        <v>89</v>
      </c>
      <c r="B90" s="5" t="str">
        <f>IFERROR(INDEX(二年級!$B:$B,MATCH(D90,二年級!$D:$D,0)),"")</f>
        <v>S211</v>
      </c>
      <c r="C90" s="4" t="s">
        <v>341</v>
      </c>
      <c r="D90" s="6" t="s">
        <v>342</v>
      </c>
      <c r="E90" s="6" t="s">
        <v>12</v>
      </c>
      <c r="F90" s="6" t="s">
        <v>55</v>
      </c>
      <c r="G90" s="6" t="s">
        <v>24</v>
      </c>
      <c r="H90" s="6" t="s">
        <v>343</v>
      </c>
      <c r="I90" s="5" t="s">
        <v>344</v>
      </c>
      <c r="J90" s="6" t="s">
        <v>17</v>
      </c>
    </row>
    <row r="91" spans="1:10" x14ac:dyDescent="0.2">
      <c r="A91" s="4">
        <v>90</v>
      </c>
      <c r="B91" s="5" t="str">
        <f>IFERROR(INDEX(學齡前!$B:$B,MATCH(D91,學齡前!$D:$D,0)),"")</f>
        <v>D003</v>
      </c>
      <c r="C91" s="4" t="s">
        <v>345</v>
      </c>
      <c r="D91" s="6" t="s">
        <v>346</v>
      </c>
      <c r="E91" s="6" t="s">
        <v>12</v>
      </c>
      <c r="F91" s="6" t="s">
        <v>28</v>
      </c>
      <c r="G91" s="6" t="s">
        <v>347</v>
      </c>
      <c r="H91" s="6" t="s">
        <v>343</v>
      </c>
      <c r="I91" s="5" t="s">
        <v>344</v>
      </c>
      <c r="J91" s="6" t="s">
        <v>17</v>
      </c>
    </row>
    <row r="92" spans="1:10" x14ac:dyDescent="0.2">
      <c r="A92" s="4">
        <v>91</v>
      </c>
      <c r="B92" s="5" t="str">
        <f>IFERROR(INDEX(二年級!$B:$B,MATCH(D92,二年級!$D:$D,0)),"")</f>
        <v>S211</v>
      </c>
      <c r="C92" s="4" t="s">
        <v>348</v>
      </c>
      <c r="D92" s="6" t="s">
        <v>349</v>
      </c>
      <c r="E92" s="6" t="s">
        <v>12</v>
      </c>
      <c r="F92" s="6" t="s">
        <v>55</v>
      </c>
      <c r="G92" s="6" t="s">
        <v>24</v>
      </c>
      <c r="H92" s="6" t="s">
        <v>350</v>
      </c>
      <c r="I92" s="5" t="s">
        <v>351</v>
      </c>
      <c r="J92" s="6" t="s">
        <v>17</v>
      </c>
    </row>
    <row r="93" spans="1:10" x14ac:dyDescent="0.2">
      <c r="A93" s="4">
        <v>92</v>
      </c>
      <c r="B93" s="5" t="str">
        <f>IFERROR(INDEX(一年級!$B:$B,MATCH(D93,一年級!$D:$D,0)),"")</f>
        <v>S107</v>
      </c>
      <c r="C93" s="4" t="s">
        <v>352</v>
      </c>
      <c r="D93" s="6" t="s">
        <v>353</v>
      </c>
      <c r="E93" s="6" t="s">
        <v>12</v>
      </c>
      <c r="F93" s="6" t="s">
        <v>19</v>
      </c>
      <c r="G93" s="6" t="s">
        <v>157</v>
      </c>
      <c r="H93" s="6" t="s">
        <v>354</v>
      </c>
      <c r="I93" s="5" t="s">
        <v>355</v>
      </c>
      <c r="J93" s="6" t="s">
        <v>17</v>
      </c>
    </row>
    <row r="94" spans="1:10" x14ac:dyDescent="0.2">
      <c r="A94" s="4">
        <v>93</v>
      </c>
      <c r="B94" s="5" t="str">
        <f>IFERROR(INDEX(學齡前!$B:$B,MATCH(D94,學齡前!$D:$D,0)),"")</f>
        <v>D003</v>
      </c>
      <c r="C94" s="4" t="s">
        <v>356</v>
      </c>
      <c r="D94" s="6" t="s">
        <v>357</v>
      </c>
      <c r="E94" s="6" t="s">
        <v>12</v>
      </c>
      <c r="F94" s="6" t="s">
        <v>28</v>
      </c>
      <c r="G94" s="6" t="s">
        <v>256</v>
      </c>
      <c r="H94" s="6" t="s">
        <v>358</v>
      </c>
      <c r="I94" s="5" t="s">
        <v>359</v>
      </c>
      <c r="J94" s="6" t="s">
        <v>17</v>
      </c>
    </row>
    <row r="95" spans="1:10" x14ac:dyDescent="0.2">
      <c r="A95" s="4">
        <v>94</v>
      </c>
      <c r="B95" s="5" t="str">
        <f>IFERROR(INDEX(學齡前!$B:$B,MATCH(D95,學齡前!$D:$D,0)),"")</f>
        <v>D003</v>
      </c>
      <c r="C95" s="4" t="s">
        <v>360</v>
      </c>
      <c r="D95" s="6" t="s">
        <v>361</v>
      </c>
      <c r="E95" s="6" t="s">
        <v>12</v>
      </c>
      <c r="F95" s="6" t="s">
        <v>28</v>
      </c>
      <c r="G95" s="6" t="s">
        <v>256</v>
      </c>
      <c r="H95" s="6" t="s">
        <v>358</v>
      </c>
      <c r="I95" s="5" t="s">
        <v>359</v>
      </c>
      <c r="J95" s="6" t="s">
        <v>17</v>
      </c>
    </row>
    <row r="96" spans="1:10" x14ac:dyDescent="0.2">
      <c r="A96" s="4">
        <v>95</v>
      </c>
      <c r="B96" s="5" t="str">
        <f>IFERROR(INDEX(學齡前!$B:$B,MATCH(D96,學齡前!$D:$D,0)),"")</f>
        <v>D001</v>
      </c>
      <c r="C96" s="4" t="s">
        <v>362</v>
      </c>
      <c r="D96" s="6" t="s">
        <v>363</v>
      </c>
      <c r="E96" s="6" t="s">
        <v>34</v>
      </c>
      <c r="F96" s="6" t="s">
        <v>72</v>
      </c>
      <c r="G96" s="6" t="s">
        <v>256</v>
      </c>
      <c r="H96" s="6" t="s">
        <v>358</v>
      </c>
      <c r="I96" s="5" t="s">
        <v>359</v>
      </c>
      <c r="J96" s="6" t="s">
        <v>17</v>
      </c>
    </row>
    <row r="97" spans="1:10" x14ac:dyDescent="0.2">
      <c r="A97" s="4">
        <v>96</v>
      </c>
      <c r="B97" s="5" t="str">
        <f>IFERROR(INDEX(六年級!$B:$B,MATCH(D97,六年級!$D:$D,0)),"")</f>
        <v>S622</v>
      </c>
      <c r="C97" s="4" t="s">
        <v>364</v>
      </c>
      <c r="D97" s="6" t="s">
        <v>365</v>
      </c>
      <c r="E97" s="6" t="s">
        <v>12</v>
      </c>
      <c r="F97" s="6" t="s">
        <v>66</v>
      </c>
      <c r="G97" s="6" t="s">
        <v>88</v>
      </c>
      <c r="H97" s="6" t="s">
        <v>366</v>
      </c>
      <c r="I97" s="5" t="s">
        <v>367</v>
      </c>
      <c r="J97" s="6" t="s">
        <v>17</v>
      </c>
    </row>
    <row r="98" spans="1:10" x14ac:dyDescent="0.2">
      <c r="A98" s="4">
        <v>97</v>
      </c>
      <c r="B98" s="5" t="str">
        <f>IFERROR(INDEX(學齡前!$B:$B,MATCH(D98,學齡前!$D:$D,0)),"")</f>
        <v>D004</v>
      </c>
      <c r="C98" s="4" t="s">
        <v>368</v>
      </c>
      <c r="D98" s="6" t="s">
        <v>369</v>
      </c>
      <c r="E98" s="6" t="s">
        <v>12</v>
      </c>
      <c r="F98" s="6" t="s">
        <v>35</v>
      </c>
      <c r="G98" s="6" t="s">
        <v>370</v>
      </c>
      <c r="H98" s="6" t="s">
        <v>366</v>
      </c>
      <c r="I98" s="5" t="s">
        <v>367</v>
      </c>
      <c r="J98" s="6" t="s">
        <v>17</v>
      </c>
    </row>
    <row r="99" spans="1:10" x14ac:dyDescent="0.2">
      <c r="A99" s="4">
        <v>98</v>
      </c>
      <c r="B99" s="5" t="str">
        <f>IFERROR(INDEX(學齡前!$B:$B,MATCH(D99,學齡前!$D:$D,0)),"")</f>
        <v>D003</v>
      </c>
      <c r="C99" s="4" t="s">
        <v>371</v>
      </c>
      <c r="D99" s="6" t="s">
        <v>372</v>
      </c>
      <c r="E99" s="6" t="s">
        <v>34</v>
      </c>
      <c r="F99" s="6" t="s">
        <v>28</v>
      </c>
      <c r="G99" s="6" t="s">
        <v>261</v>
      </c>
      <c r="H99" s="6" t="s">
        <v>373</v>
      </c>
      <c r="I99" s="5" t="s">
        <v>374</v>
      </c>
      <c r="J99" s="6" t="s">
        <v>17</v>
      </c>
    </row>
    <row r="100" spans="1:10" x14ac:dyDescent="0.2">
      <c r="A100" s="4">
        <v>99</v>
      </c>
      <c r="B100" s="5" t="str">
        <f>IFERROR(INDEX(二年級!$B:$B,MATCH(D100,二年級!$D:$D,0)),"")</f>
        <v>S211</v>
      </c>
      <c r="C100" s="4" t="s">
        <v>375</v>
      </c>
      <c r="D100" s="6" t="s">
        <v>376</v>
      </c>
      <c r="E100" s="6" t="s">
        <v>12</v>
      </c>
      <c r="F100" s="6" t="s">
        <v>55</v>
      </c>
      <c r="G100" s="6" t="s">
        <v>131</v>
      </c>
      <c r="H100" s="6" t="s">
        <v>373</v>
      </c>
      <c r="I100" s="5" t="s">
        <v>374</v>
      </c>
      <c r="J100" s="6" t="s">
        <v>17</v>
      </c>
    </row>
    <row r="101" spans="1:10" x14ac:dyDescent="0.2">
      <c r="A101" s="4">
        <v>100</v>
      </c>
      <c r="B101" s="5" t="str">
        <f>IFERROR(INDEX(學齡前!$B:$B,MATCH(D101,學齡前!$D:$D,0)),"")</f>
        <v>D004</v>
      </c>
      <c r="C101" s="4" t="s">
        <v>377</v>
      </c>
      <c r="D101" s="6" t="s">
        <v>378</v>
      </c>
      <c r="E101" s="6" t="s">
        <v>12</v>
      </c>
      <c r="F101" s="6" t="s">
        <v>35</v>
      </c>
      <c r="G101" s="6" t="s">
        <v>379</v>
      </c>
      <c r="H101" s="6" t="s">
        <v>380</v>
      </c>
      <c r="I101" s="5" t="s">
        <v>381</v>
      </c>
      <c r="J101" s="6" t="s">
        <v>17</v>
      </c>
    </row>
    <row r="102" spans="1:10" x14ac:dyDescent="0.2">
      <c r="A102" s="4">
        <v>101</v>
      </c>
      <c r="B102" s="5" t="str">
        <f>IFERROR(INDEX(二年級!$B:$B,MATCH(D102,二年級!$D:$D,0)),"")</f>
        <v>S211</v>
      </c>
      <c r="C102" s="4" t="s">
        <v>382</v>
      </c>
      <c r="D102" s="6" t="s">
        <v>383</v>
      </c>
      <c r="E102" s="6" t="s">
        <v>34</v>
      </c>
      <c r="F102" s="6" t="s">
        <v>55</v>
      </c>
      <c r="G102" s="6" t="s">
        <v>297</v>
      </c>
      <c r="H102" s="6" t="s">
        <v>380</v>
      </c>
      <c r="I102" s="5" t="s">
        <v>381</v>
      </c>
      <c r="J102" s="6" t="s">
        <v>17</v>
      </c>
    </row>
    <row r="103" spans="1:10" x14ac:dyDescent="0.2">
      <c r="A103" s="4">
        <v>102</v>
      </c>
      <c r="B103" s="5" t="str">
        <f>IFERROR(INDEX(二年級!$B:$B,MATCH(D103,二年級!$D:$D,0)),"")</f>
        <v>S211</v>
      </c>
      <c r="C103" s="4" t="s">
        <v>384</v>
      </c>
      <c r="D103" s="6" t="s">
        <v>385</v>
      </c>
      <c r="E103" s="6" t="s">
        <v>34</v>
      </c>
      <c r="F103" s="6" t="s">
        <v>55</v>
      </c>
      <c r="G103" s="6" t="s">
        <v>323</v>
      </c>
      <c r="H103" s="6" t="s">
        <v>386</v>
      </c>
      <c r="I103" s="5" t="s">
        <v>387</v>
      </c>
      <c r="J103" s="6" t="s">
        <v>17</v>
      </c>
    </row>
    <row r="104" spans="1:10" x14ac:dyDescent="0.2">
      <c r="A104" s="4">
        <v>103</v>
      </c>
      <c r="B104" s="5" t="str">
        <f>IFERROR(INDEX(學齡前!$B:$B,MATCH(D104,學齡前!$D:$D,0)),"")</f>
        <v>D004</v>
      </c>
      <c r="C104" s="4" t="s">
        <v>388</v>
      </c>
      <c r="D104" s="6" t="s">
        <v>389</v>
      </c>
      <c r="E104" s="6" t="s">
        <v>34</v>
      </c>
      <c r="F104" s="6" t="s">
        <v>35</v>
      </c>
      <c r="G104" s="6" t="s">
        <v>390</v>
      </c>
      <c r="H104" s="6" t="s">
        <v>386</v>
      </c>
      <c r="I104" s="5" t="s">
        <v>387</v>
      </c>
      <c r="J104" s="6" t="s">
        <v>17</v>
      </c>
    </row>
    <row r="105" spans="1:10" x14ac:dyDescent="0.2">
      <c r="A105" s="4">
        <v>104</v>
      </c>
      <c r="B105" s="5" t="str">
        <f>IFERROR(INDEX(五年級!$B:$B,MATCH(D105,五年級!$D:$D,0)),"")</f>
        <v>S520</v>
      </c>
      <c r="C105" s="4" t="s">
        <v>391</v>
      </c>
      <c r="D105" s="6" t="s">
        <v>392</v>
      </c>
      <c r="E105" s="6" t="s">
        <v>34</v>
      </c>
      <c r="F105" s="6" t="s">
        <v>60</v>
      </c>
      <c r="G105" s="6" t="s">
        <v>88</v>
      </c>
      <c r="H105" s="6" t="s">
        <v>393</v>
      </c>
      <c r="I105" s="5" t="s">
        <v>394</v>
      </c>
      <c r="J105" s="6" t="s">
        <v>17</v>
      </c>
    </row>
    <row r="106" spans="1:10" x14ac:dyDescent="0.2">
      <c r="A106" s="4">
        <v>105</v>
      </c>
      <c r="B106" s="5" t="str">
        <f>IFERROR(INDEX(學齡前!$B:$B,MATCH(D106,學齡前!$D:$D,0)),"")</f>
        <v>D004</v>
      </c>
      <c r="C106" s="4" t="s">
        <v>395</v>
      </c>
      <c r="D106" s="6" t="s">
        <v>396</v>
      </c>
      <c r="E106" s="6" t="s">
        <v>34</v>
      </c>
      <c r="F106" s="6" t="s">
        <v>35</v>
      </c>
      <c r="G106" s="6" t="s">
        <v>397</v>
      </c>
      <c r="H106" s="6" t="s">
        <v>393</v>
      </c>
      <c r="I106" s="5" t="s">
        <v>394</v>
      </c>
      <c r="J106" s="6" t="s">
        <v>17</v>
      </c>
    </row>
    <row r="107" spans="1:10" x14ac:dyDescent="0.2">
      <c r="A107" s="4">
        <v>106</v>
      </c>
      <c r="B107" s="5" t="str">
        <f>IFERROR(INDEX(學齡前!$B:$B,MATCH(D107,學齡前!$D:$D,0)),"")</f>
        <v>D003</v>
      </c>
      <c r="C107" s="4" t="s">
        <v>398</v>
      </c>
      <c r="D107" s="6" t="s">
        <v>399</v>
      </c>
      <c r="E107" s="6" t="s">
        <v>12</v>
      </c>
      <c r="F107" s="6" t="s">
        <v>28</v>
      </c>
      <c r="G107" s="6" t="s">
        <v>400</v>
      </c>
      <c r="H107" s="6" t="s">
        <v>401</v>
      </c>
      <c r="I107" s="5" t="s">
        <v>402</v>
      </c>
      <c r="J107" s="6" t="s">
        <v>17</v>
      </c>
    </row>
    <row r="108" spans="1:10" x14ac:dyDescent="0.2">
      <c r="A108" s="4">
        <v>107</v>
      </c>
      <c r="B108" s="5" t="str">
        <f>IFERROR(INDEX(學齡前!$B:$B,MATCH(D108,學齡前!$D:$D,0)),"")</f>
        <v>D001</v>
      </c>
      <c r="C108" s="4" t="s">
        <v>403</v>
      </c>
      <c r="D108" s="6" t="s">
        <v>404</v>
      </c>
      <c r="E108" s="6" t="s">
        <v>12</v>
      </c>
      <c r="F108" s="6" t="s">
        <v>72</v>
      </c>
      <c r="G108" s="6" t="s">
        <v>400</v>
      </c>
      <c r="H108" s="6" t="s">
        <v>401</v>
      </c>
      <c r="I108" s="5" t="s">
        <v>402</v>
      </c>
      <c r="J108" s="6" t="s">
        <v>17</v>
      </c>
    </row>
    <row r="109" spans="1:10" x14ac:dyDescent="0.2">
      <c r="A109" s="4">
        <v>108</v>
      </c>
      <c r="B109" s="5" t="str">
        <f>IFERROR(INDEX(四年級!$B:$B,MATCH(D109,四年級!$D:$D,0)),"")</f>
        <v>S417</v>
      </c>
      <c r="C109" s="4" t="s">
        <v>405</v>
      </c>
      <c r="D109" s="6" t="s">
        <v>406</v>
      </c>
      <c r="E109" s="6" t="s">
        <v>12</v>
      </c>
      <c r="F109" s="6" t="s">
        <v>13</v>
      </c>
      <c r="G109" s="6" t="s">
        <v>24</v>
      </c>
      <c r="H109" s="6" t="s">
        <v>407</v>
      </c>
      <c r="I109" s="5" t="s">
        <v>408</v>
      </c>
      <c r="J109" s="6" t="s">
        <v>17</v>
      </c>
    </row>
    <row r="110" spans="1:10" x14ac:dyDescent="0.2">
      <c r="A110" s="4">
        <v>109</v>
      </c>
      <c r="B110" s="5" t="str">
        <f>IFERROR(INDEX(二年級!$B:$B,MATCH(D110,二年級!$D:$D,0)),"")</f>
        <v>S211</v>
      </c>
      <c r="C110" s="4" t="s">
        <v>409</v>
      </c>
      <c r="D110" s="6" t="s">
        <v>410</v>
      </c>
      <c r="E110" s="6" t="s">
        <v>12</v>
      </c>
      <c r="F110" s="6" t="s">
        <v>55</v>
      </c>
      <c r="G110" s="6" t="s">
        <v>323</v>
      </c>
      <c r="H110" s="6" t="s">
        <v>411</v>
      </c>
      <c r="I110" s="5" t="s">
        <v>412</v>
      </c>
      <c r="J110" s="6" t="s">
        <v>17</v>
      </c>
    </row>
    <row r="111" spans="1:10" x14ac:dyDescent="0.2">
      <c r="A111" s="4">
        <v>110</v>
      </c>
      <c r="B111" s="5" t="str">
        <f>IFERROR(INDEX(學齡前!$B:$B,MATCH(D111,學齡前!$D:$D,0)),"")</f>
        <v>D005</v>
      </c>
      <c r="C111" s="4" t="s">
        <v>413</v>
      </c>
      <c r="D111" s="6" t="s">
        <v>414</v>
      </c>
      <c r="E111" s="6" t="s">
        <v>12</v>
      </c>
      <c r="F111" s="6" t="s">
        <v>35</v>
      </c>
      <c r="G111" s="6" t="s">
        <v>415</v>
      </c>
      <c r="H111" s="6" t="s">
        <v>411</v>
      </c>
      <c r="I111" s="5" t="s">
        <v>412</v>
      </c>
      <c r="J111" s="6" t="s">
        <v>17</v>
      </c>
    </row>
    <row r="112" spans="1:10" x14ac:dyDescent="0.2">
      <c r="A112" s="4">
        <v>111</v>
      </c>
      <c r="B112" s="5" t="str">
        <f>IFERROR(INDEX(學齡前!$B:$B,MATCH(D112,學齡前!$D:$D,0)),"")</f>
        <v>D001</v>
      </c>
      <c r="C112" s="4" t="s">
        <v>416</v>
      </c>
      <c r="D112" s="6" t="s">
        <v>417</v>
      </c>
      <c r="E112" s="6" t="s">
        <v>34</v>
      </c>
      <c r="F112" s="6" t="s">
        <v>418</v>
      </c>
      <c r="G112" s="6" t="s">
        <v>419</v>
      </c>
      <c r="H112" s="6" t="s">
        <v>420</v>
      </c>
      <c r="I112" s="5" t="s">
        <v>421</v>
      </c>
      <c r="J112" s="6" t="s">
        <v>17</v>
      </c>
    </row>
    <row r="113" spans="1:10" x14ac:dyDescent="0.2">
      <c r="A113" s="4">
        <v>112</v>
      </c>
      <c r="B113" s="5" t="str">
        <f>IFERROR(INDEX(學齡前!$B:$B,MATCH(D113,學齡前!$D:$D,0)),"")</f>
        <v>D001</v>
      </c>
      <c r="C113" s="4" t="s">
        <v>422</v>
      </c>
      <c r="D113" s="6" t="s">
        <v>423</v>
      </c>
      <c r="E113" s="6" t="s">
        <v>34</v>
      </c>
      <c r="F113" s="6" t="s">
        <v>72</v>
      </c>
      <c r="G113" s="6" t="s">
        <v>424</v>
      </c>
      <c r="H113" s="6" t="s">
        <v>425</v>
      </c>
      <c r="I113" s="5" t="s">
        <v>426</v>
      </c>
      <c r="J113" s="6" t="s">
        <v>17</v>
      </c>
    </row>
    <row r="114" spans="1:10" x14ac:dyDescent="0.2">
      <c r="A114" s="4">
        <v>113</v>
      </c>
      <c r="B114" s="5" t="str">
        <f>IFERROR(INDEX(一年級!$B:$B,MATCH(D114,一年級!$D:$D,0)),"")</f>
        <v>S108</v>
      </c>
      <c r="C114" s="4" t="s">
        <v>427</v>
      </c>
      <c r="D114" s="6" t="s">
        <v>428</v>
      </c>
      <c r="E114" s="6" t="s">
        <v>12</v>
      </c>
      <c r="F114" s="6" t="s">
        <v>19</v>
      </c>
      <c r="G114" s="6" t="s">
        <v>429</v>
      </c>
      <c r="H114" s="6" t="s">
        <v>430</v>
      </c>
      <c r="I114" s="5" t="s">
        <v>431</v>
      </c>
      <c r="J114" s="6" t="s">
        <v>17</v>
      </c>
    </row>
    <row r="115" spans="1:10" x14ac:dyDescent="0.2">
      <c r="A115" s="4">
        <v>114</v>
      </c>
      <c r="B115" s="5" t="str">
        <f>IFERROR(INDEX(六年級!$B:$B,MATCH(D115,六年級!$D:$D,0)),"")</f>
        <v>S622</v>
      </c>
      <c r="C115" s="4" t="s">
        <v>432</v>
      </c>
      <c r="D115" s="6" t="s">
        <v>433</v>
      </c>
      <c r="E115" s="6" t="s">
        <v>12</v>
      </c>
      <c r="F115" s="6" t="s">
        <v>66</v>
      </c>
      <c r="G115" s="6" t="s">
        <v>67</v>
      </c>
      <c r="H115" s="6" t="s">
        <v>434</v>
      </c>
      <c r="I115" s="5" t="s">
        <v>435</v>
      </c>
      <c r="J115" s="6" t="s">
        <v>17</v>
      </c>
    </row>
    <row r="116" spans="1:10" x14ac:dyDescent="0.2">
      <c r="A116" s="4">
        <v>115</v>
      </c>
      <c r="B116" s="5" t="str">
        <f>IFERROR(INDEX(學齡前!$B:$B,MATCH(D116,學齡前!$D:$D,0)),"")</f>
        <v>D003</v>
      </c>
      <c r="C116" s="4" t="s">
        <v>436</v>
      </c>
      <c r="D116" s="6" t="s">
        <v>437</v>
      </c>
      <c r="E116" s="6" t="s">
        <v>34</v>
      </c>
      <c r="F116" s="6" t="s">
        <v>28</v>
      </c>
      <c r="G116" s="6" t="s">
        <v>192</v>
      </c>
      <c r="H116" s="6" t="s">
        <v>438</v>
      </c>
      <c r="I116" s="5" t="s">
        <v>439</v>
      </c>
      <c r="J116" s="6" t="s">
        <v>17</v>
      </c>
    </row>
    <row r="117" spans="1:10" x14ac:dyDescent="0.2">
      <c r="A117" s="4">
        <v>116</v>
      </c>
      <c r="B117" s="5" t="str">
        <f>IFERROR(INDEX(一年級!$B:$B,MATCH(D117,一年級!$D:$D,0)),"")</f>
        <v>S108</v>
      </c>
      <c r="C117" s="4" t="s">
        <v>440</v>
      </c>
      <c r="D117" s="6" t="s">
        <v>441</v>
      </c>
      <c r="E117" s="6" t="s">
        <v>12</v>
      </c>
      <c r="F117" s="6" t="s">
        <v>19</v>
      </c>
      <c r="G117" s="6" t="s">
        <v>442</v>
      </c>
      <c r="H117" s="6" t="s">
        <v>443</v>
      </c>
      <c r="I117" s="5" t="s">
        <v>444</v>
      </c>
      <c r="J117" s="6" t="s">
        <v>17</v>
      </c>
    </row>
    <row r="118" spans="1:10" x14ac:dyDescent="0.2">
      <c r="A118" s="4">
        <v>117</v>
      </c>
      <c r="B118" s="5" t="str">
        <f>IFERROR(INDEX(一年級!$B:$B,MATCH(D118,一年級!$D:$D,0)),"")</f>
        <v>S108</v>
      </c>
      <c r="C118" s="4" t="s">
        <v>445</v>
      </c>
      <c r="D118" s="6" t="s">
        <v>446</v>
      </c>
      <c r="E118" s="6" t="s">
        <v>34</v>
      </c>
      <c r="F118" s="6" t="s">
        <v>19</v>
      </c>
      <c r="G118" s="6" t="s">
        <v>447</v>
      </c>
      <c r="H118" s="6" t="s">
        <v>448</v>
      </c>
      <c r="I118" s="5" t="s">
        <v>449</v>
      </c>
      <c r="J118" s="6" t="s">
        <v>17</v>
      </c>
    </row>
    <row r="119" spans="1:10" x14ac:dyDescent="0.2">
      <c r="A119" s="4">
        <v>118</v>
      </c>
      <c r="B119" s="5" t="str">
        <f>IFERROR(INDEX(一年級!$B:$B,MATCH(D119,一年級!$D:$D,0)),"")</f>
        <v>S108</v>
      </c>
      <c r="C119" s="4" t="s">
        <v>450</v>
      </c>
      <c r="D119" s="6" t="s">
        <v>451</v>
      </c>
      <c r="E119" s="6" t="s">
        <v>34</v>
      </c>
      <c r="F119" s="6" t="s">
        <v>19</v>
      </c>
      <c r="G119" s="6" t="s">
        <v>131</v>
      </c>
      <c r="H119" s="6" t="s">
        <v>452</v>
      </c>
      <c r="I119" s="5" t="s">
        <v>453</v>
      </c>
      <c r="J119" s="6" t="s">
        <v>17</v>
      </c>
    </row>
    <row r="120" spans="1:10" x14ac:dyDescent="0.2">
      <c r="A120" s="4">
        <v>119</v>
      </c>
      <c r="B120" s="5" t="str">
        <f>IFERROR(INDEX(三年級!$B:$B,MATCH(D120,三年級!$D:$D,0)),"")</f>
        <v>S315</v>
      </c>
      <c r="C120" s="4" t="s">
        <v>454</v>
      </c>
      <c r="D120" s="6" t="s">
        <v>455</v>
      </c>
      <c r="E120" s="6" t="s">
        <v>12</v>
      </c>
      <c r="F120" s="6" t="s">
        <v>46</v>
      </c>
      <c r="G120" s="6" t="s">
        <v>456</v>
      </c>
      <c r="H120" s="6" t="s">
        <v>457</v>
      </c>
      <c r="I120" s="5" t="s">
        <v>458</v>
      </c>
      <c r="J120" s="6" t="s">
        <v>17</v>
      </c>
    </row>
    <row r="121" spans="1:10" x14ac:dyDescent="0.2">
      <c r="A121" s="4">
        <v>120</v>
      </c>
      <c r="B121" s="5" t="str">
        <f>IFERROR(INDEX(二年級!$B:$B,MATCH(D121,二年級!$D:$D,0)),"")</f>
        <v>S211</v>
      </c>
      <c r="C121" s="4" t="s">
        <v>459</v>
      </c>
      <c r="D121" s="6" t="s">
        <v>460</v>
      </c>
      <c r="E121" s="6" t="s">
        <v>12</v>
      </c>
      <c r="F121" s="6" t="s">
        <v>55</v>
      </c>
      <c r="G121" s="6" t="s">
        <v>456</v>
      </c>
      <c r="H121" s="6" t="s">
        <v>457</v>
      </c>
      <c r="I121" s="5" t="s">
        <v>458</v>
      </c>
      <c r="J121" s="6" t="s">
        <v>17</v>
      </c>
    </row>
    <row r="122" spans="1:10" x14ac:dyDescent="0.2">
      <c r="A122" s="4">
        <v>121</v>
      </c>
      <c r="B122" s="5" t="str">
        <f>IFERROR(INDEX(四年級!$B:$B,MATCH(D122,四年級!$D:$D,0)),"")</f>
        <v>S417</v>
      </c>
      <c r="C122" s="4" t="s">
        <v>461</v>
      </c>
      <c r="D122" s="6" t="s">
        <v>462</v>
      </c>
      <c r="E122" s="6" t="s">
        <v>12</v>
      </c>
      <c r="F122" s="6" t="s">
        <v>13</v>
      </c>
      <c r="G122" s="6" t="s">
        <v>157</v>
      </c>
      <c r="H122" s="6" t="s">
        <v>463</v>
      </c>
      <c r="I122" s="5" t="s">
        <v>464</v>
      </c>
      <c r="J122" s="6" t="s">
        <v>17</v>
      </c>
    </row>
    <row r="123" spans="1:10" x14ac:dyDescent="0.2">
      <c r="A123" s="4">
        <v>122</v>
      </c>
      <c r="B123" s="5" t="str">
        <f>IFERROR(INDEX(二年級!$B:$B,MATCH(D123,二年級!$D:$D,0)),"")</f>
        <v>S211</v>
      </c>
      <c r="C123" s="4" t="s">
        <v>465</v>
      </c>
      <c r="D123" s="6" t="s">
        <v>466</v>
      </c>
      <c r="E123" s="6" t="s">
        <v>34</v>
      </c>
      <c r="F123" s="6" t="s">
        <v>55</v>
      </c>
      <c r="G123" s="6" t="s">
        <v>131</v>
      </c>
      <c r="H123" s="6" t="s">
        <v>467</v>
      </c>
      <c r="I123" s="5" t="s">
        <v>468</v>
      </c>
      <c r="J123" s="6" t="s">
        <v>17</v>
      </c>
    </row>
    <row r="124" spans="1:10" x14ac:dyDescent="0.2">
      <c r="A124" s="4">
        <v>123</v>
      </c>
      <c r="B124" s="5" t="str">
        <f>IFERROR(INDEX(一年級!$B:$B,MATCH(D124,一年級!$D:$D,0)),"")</f>
        <v>S108</v>
      </c>
      <c r="C124" s="4" t="s">
        <v>469</v>
      </c>
      <c r="D124" s="6" t="s">
        <v>470</v>
      </c>
      <c r="E124" s="6" t="s">
        <v>34</v>
      </c>
      <c r="F124" s="6" t="s">
        <v>19</v>
      </c>
      <c r="G124" s="6" t="s">
        <v>131</v>
      </c>
      <c r="H124" s="6" t="s">
        <v>467</v>
      </c>
      <c r="I124" s="5" t="s">
        <v>468</v>
      </c>
      <c r="J124" s="6" t="s">
        <v>17</v>
      </c>
    </row>
    <row r="125" spans="1:10" x14ac:dyDescent="0.2">
      <c r="A125" s="4">
        <v>124</v>
      </c>
      <c r="B125" s="5" t="str">
        <f>IFERROR(INDEX(學齡前!$B:$B,MATCH(D125,學齡前!$D:$D,0)),"")</f>
        <v>D003</v>
      </c>
      <c r="C125" s="4" t="s">
        <v>471</v>
      </c>
      <c r="D125" s="6" t="s">
        <v>472</v>
      </c>
      <c r="E125" s="6" t="s">
        <v>12</v>
      </c>
      <c r="F125" s="6" t="s">
        <v>28</v>
      </c>
      <c r="G125" s="6" t="s">
        <v>473</v>
      </c>
      <c r="H125" s="6" t="s">
        <v>474</v>
      </c>
      <c r="I125" s="5" t="s">
        <v>475</v>
      </c>
      <c r="J125" s="6" t="s">
        <v>17</v>
      </c>
    </row>
    <row r="126" spans="1:10" x14ac:dyDescent="0.2">
      <c r="A126" s="4">
        <v>125</v>
      </c>
      <c r="B126" s="5" t="str">
        <f>IFERROR(INDEX(三年級!$B:$B,MATCH(D126,三年級!$D:$D,0)),"")</f>
        <v>S315</v>
      </c>
      <c r="C126" s="4" t="s">
        <v>476</v>
      </c>
      <c r="D126" s="6" t="s">
        <v>477</v>
      </c>
      <c r="E126" s="6" t="s">
        <v>12</v>
      </c>
      <c r="F126" s="6" t="s">
        <v>46</v>
      </c>
      <c r="G126" s="6" t="s">
        <v>131</v>
      </c>
      <c r="H126" s="6" t="s">
        <v>474</v>
      </c>
      <c r="I126" s="5" t="s">
        <v>475</v>
      </c>
      <c r="J126" s="6" t="s">
        <v>17</v>
      </c>
    </row>
    <row r="127" spans="1:10" x14ac:dyDescent="0.2">
      <c r="A127" s="4">
        <v>126</v>
      </c>
      <c r="B127" s="5" t="str">
        <f>IFERROR(INDEX(一年級!$B:$B,MATCH(D127,一年級!$D:$D,0)),"")</f>
        <v>S108</v>
      </c>
      <c r="C127" s="4" t="s">
        <v>478</v>
      </c>
      <c r="D127" s="6" t="s">
        <v>479</v>
      </c>
      <c r="E127" s="6" t="s">
        <v>34</v>
      </c>
      <c r="F127" s="6" t="s">
        <v>19</v>
      </c>
      <c r="G127" s="6" t="s">
        <v>157</v>
      </c>
      <c r="H127" s="6" t="s">
        <v>480</v>
      </c>
      <c r="I127" s="5" t="s">
        <v>481</v>
      </c>
      <c r="J127" s="6" t="s">
        <v>17</v>
      </c>
    </row>
    <row r="128" spans="1:10" x14ac:dyDescent="0.2">
      <c r="A128" s="4">
        <v>127</v>
      </c>
      <c r="B128" s="5" t="str">
        <f>IFERROR(INDEX(四年級!$B:$B,MATCH(D128,四年級!$D:$D,0)),"")</f>
        <v>S418</v>
      </c>
      <c r="C128" s="4" t="s">
        <v>482</v>
      </c>
      <c r="D128" s="6" t="s">
        <v>483</v>
      </c>
      <c r="E128" s="6" t="s">
        <v>34</v>
      </c>
      <c r="F128" s="6" t="s">
        <v>13</v>
      </c>
      <c r="G128" s="6" t="s">
        <v>157</v>
      </c>
      <c r="H128" s="6" t="s">
        <v>480</v>
      </c>
      <c r="I128" s="5" t="s">
        <v>481</v>
      </c>
      <c r="J128" s="6" t="s">
        <v>17</v>
      </c>
    </row>
    <row r="129" spans="1:10" x14ac:dyDescent="0.2">
      <c r="A129" s="4">
        <v>128</v>
      </c>
      <c r="B129" s="5" t="str">
        <f>IFERROR(INDEX(四年級!$B:$B,MATCH(D129,四年級!$D:$D,0)),"")</f>
        <v>S418</v>
      </c>
      <c r="C129" s="4" t="s">
        <v>484</v>
      </c>
      <c r="D129" s="6" t="s">
        <v>485</v>
      </c>
      <c r="E129" s="6" t="s">
        <v>34</v>
      </c>
      <c r="F129" s="6" t="s">
        <v>13</v>
      </c>
      <c r="G129" s="6" t="s">
        <v>173</v>
      </c>
      <c r="H129" s="6" t="s">
        <v>486</v>
      </c>
      <c r="I129" s="5" t="s">
        <v>487</v>
      </c>
      <c r="J129" s="6" t="s">
        <v>17</v>
      </c>
    </row>
    <row r="130" spans="1:10" x14ac:dyDescent="0.2">
      <c r="A130" s="4">
        <v>129</v>
      </c>
      <c r="B130" s="5" t="str">
        <f>IFERROR(INDEX(三年級!$B:$B,MATCH(D130,三年級!$D:$D,0)),"")</f>
        <v>S315</v>
      </c>
      <c r="C130" s="4" t="s">
        <v>488</v>
      </c>
      <c r="D130" s="6" t="s">
        <v>489</v>
      </c>
      <c r="E130" s="6" t="s">
        <v>12</v>
      </c>
      <c r="F130" s="6" t="s">
        <v>46</v>
      </c>
      <c r="G130" s="6" t="s">
        <v>173</v>
      </c>
      <c r="H130" s="6" t="s">
        <v>486</v>
      </c>
      <c r="I130" s="5" t="s">
        <v>487</v>
      </c>
      <c r="J130" s="6" t="s">
        <v>17</v>
      </c>
    </row>
    <row r="131" spans="1:10" x14ac:dyDescent="0.2">
      <c r="A131" s="4">
        <v>130</v>
      </c>
      <c r="B131" s="5" t="str">
        <f>IFERROR(INDEX(三年級!$B:$B,MATCH(D131,三年級!$D:$D,0)),"")</f>
        <v>S315</v>
      </c>
      <c r="C131" s="4" t="s">
        <v>490</v>
      </c>
      <c r="D131" s="6" t="s">
        <v>491</v>
      </c>
      <c r="E131" s="6" t="s">
        <v>34</v>
      </c>
      <c r="F131" s="6" t="s">
        <v>46</v>
      </c>
      <c r="G131" s="6" t="s">
        <v>492</v>
      </c>
      <c r="H131" s="6" t="s">
        <v>493</v>
      </c>
      <c r="I131" s="5" t="s">
        <v>494</v>
      </c>
      <c r="J131" s="6" t="s">
        <v>17</v>
      </c>
    </row>
    <row r="132" spans="1:10" x14ac:dyDescent="0.2">
      <c r="A132" s="4">
        <v>131</v>
      </c>
      <c r="B132" s="5" t="str">
        <f>IFERROR(INDEX(一年級!$B:$B,MATCH(D132,一年級!$D:$D,0)),"")</f>
        <v>S108</v>
      </c>
      <c r="C132" s="4" t="s">
        <v>495</v>
      </c>
      <c r="D132" s="6" t="s">
        <v>496</v>
      </c>
      <c r="E132" s="6" t="s">
        <v>34</v>
      </c>
      <c r="F132" s="6" t="s">
        <v>19</v>
      </c>
      <c r="G132" s="6" t="s">
        <v>492</v>
      </c>
      <c r="H132" s="6" t="s">
        <v>493</v>
      </c>
      <c r="I132" s="5" t="s">
        <v>494</v>
      </c>
      <c r="J132" s="6" t="s">
        <v>17</v>
      </c>
    </row>
    <row r="133" spans="1:10" x14ac:dyDescent="0.2">
      <c r="A133" s="4">
        <v>132</v>
      </c>
      <c r="B133" s="5" t="str">
        <f>IFERROR(INDEX(二年級!$B:$B,MATCH(D133,二年級!$D:$D,0)),"")</f>
        <v>S212</v>
      </c>
      <c r="C133" s="4" t="s">
        <v>497</v>
      </c>
      <c r="D133" s="6" t="s">
        <v>498</v>
      </c>
      <c r="E133" s="6" t="s">
        <v>12</v>
      </c>
      <c r="F133" s="6" t="s">
        <v>55</v>
      </c>
      <c r="G133" s="6" t="s">
        <v>499</v>
      </c>
      <c r="H133" s="6" t="s">
        <v>500</v>
      </c>
      <c r="I133" s="5" t="s">
        <v>501</v>
      </c>
      <c r="J133" s="6" t="s">
        <v>17</v>
      </c>
    </row>
    <row r="134" spans="1:10" x14ac:dyDescent="0.2">
      <c r="A134" s="4">
        <v>133</v>
      </c>
      <c r="B134" s="5" t="str">
        <f>IFERROR(INDEX(二年級!$B:$B,MATCH(D134,二年級!$D:$D,0)),"")</f>
        <v>S212</v>
      </c>
      <c r="C134" s="4" t="s">
        <v>502</v>
      </c>
      <c r="D134" s="6" t="s">
        <v>503</v>
      </c>
      <c r="E134" s="6" t="s">
        <v>34</v>
      </c>
      <c r="F134" s="6" t="s">
        <v>55</v>
      </c>
      <c r="G134" s="6" t="s">
        <v>504</v>
      </c>
      <c r="H134" s="6" t="s">
        <v>505</v>
      </c>
      <c r="I134" s="5" t="s">
        <v>506</v>
      </c>
      <c r="J134" s="6" t="s">
        <v>17</v>
      </c>
    </row>
    <row r="135" spans="1:10" x14ac:dyDescent="0.2">
      <c r="A135" s="4">
        <v>134</v>
      </c>
      <c r="B135" s="5" t="str">
        <f>IFERROR(INDEX(學齡前!$B:$B,MATCH(D135,學齡前!$D:$D,0)),"")</f>
        <v>D005</v>
      </c>
      <c r="C135" s="4" t="s">
        <v>507</v>
      </c>
      <c r="D135" s="6" t="s">
        <v>508</v>
      </c>
      <c r="E135" s="6" t="s">
        <v>34</v>
      </c>
      <c r="F135" s="6" t="s">
        <v>35</v>
      </c>
      <c r="G135" s="6" t="s">
        <v>509</v>
      </c>
      <c r="H135" s="6" t="s">
        <v>505</v>
      </c>
      <c r="I135" s="5" t="s">
        <v>506</v>
      </c>
      <c r="J135" s="6" t="s">
        <v>17</v>
      </c>
    </row>
    <row r="136" spans="1:10" x14ac:dyDescent="0.2">
      <c r="A136" s="4">
        <v>135</v>
      </c>
      <c r="B136" s="5" t="str">
        <f>IFERROR(INDEX(三年級!$B:$B,MATCH(D136,三年級!$D:$D,0)),"")</f>
        <v>S315</v>
      </c>
      <c r="C136" s="4" t="s">
        <v>510</v>
      </c>
      <c r="D136" s="6" t="s">
        <v>511</v>
      </c>
      <c r="E136" s="6" t="s">
        <v>12</v>
      </c>
      <c r="F136" s="6" t="s">
        <v>46</v>
      </c>
      <c r="G136" s="6" t="s">
        <v>173</v>
      </c>
      <c r="H136" s="6" t="s">
        <v>512</v>
      </c>
      <c r="I136" s="5" t="s">
        <v>513</v>
      </c>
      <c r="J136" s="6" t="s">
        <v>17</v>
      </c>
    </row>
    <row r="137" spans="1:10" x14ac:dyDescent="0.2">
      <c r="A137" s="4">
        <v>136</v>
      </c>
      <c r="B137" s="5" t="str">
        <f>IFERROR(INDEX(五年級!$B:$B,MATCH(D137,五年級!$D:$D,0)),"")</f>
        <v>S520</v>
      </c>
      <c r="C137" s="4" t="s">
        <v>514</v>
      </c>
      <c r="D137" s="6" t="s">
        <v>515</v>
      </c>
      <c r="E137" s="6" t="s">
        <v>12</v>
      </c>
      <c r="F137" s="6" t="s">
        <v>60</v>
      </c>
      <c r="G137" s="6" t="s">
        <v>173</v>
      </c>
      <c r="H137" s="6" t="s">
        <v>512</v>
      </c>
      <c r="I137" s="5" t="s">
        <v>513</v>
      </c>
      <c r="J137" s="6" t="s">
        <v>17</v>
      </c>
    </row>
    <row r="138" spans="1:10" x14ac:dyDescent="0.2">
      <c r="A138" s="4">
        <v>137</v>
      </c>
      <c r="B138" s="5" t="str">
        <f>IFERROR(INDEX(五年級!$B:$B,MATCH(D138,五年級!$D:$D,0)),"")</f>
        <v>S520</v>
      </c>
      <c r="C138" s="4" t="s">
        <v>516</v>
      </c>
      <c r="D138" s="6" t="s">
        <v>517</v>
      </c>
      <c r="E138" s="6" t="s">
        <v>34</v>
      </c>
      <c r="F138" s="6" t="s">
        <v>60</v>
      </c>
      <c r="G138" s="6" t="s">
        <v>518</v>
      </c>
      <c r="H138" s="6" t="s">
        <v>512</v>
      </c>
      <c r="I138" s="5" t="s">
        <v>513</v>
      </c>
      <c r="J138" s="6" t="s">
        <v>17</v>
      </c>
    </row>
    <row r="139" spans="1:10" x14ac:dyDescent="0.2">
      <c r="A139" s="4">
        <v>138</v>
      </c>
      <c r="B139" s="5" t="str">
        <f>IFERROR(INDEX(學齡前!$B:$B,MATCH(D139,學齡前!$D:$D,0)),"")</f>
        <v>D003</v>
      </c>
      <c r="C139" s="4" t="s">
        <v>519</v>
      </c>
      <c r="D139" s="6" t="s">
        <v>520</v>
      </c>
      <c r="E139" s="6" t="s">
        <v>34</v>
      </c>
      <c r="F139" s="6" t="s">
        <v>28</v>
      </c>
      <c r="G139" s="6" t="s">
        <v>521</v>
      </c>
      <c r="H139" s="6" t="s">
        <v>522</v>
      </c>
      <c r="I139" s="5" t="s">
        <v>523</v>
      </c>
      <c r="J139" s="6" t="s">
        <v>17</v>
      </c>
    </row>
    <row r="140" spans="1:10" x14ac:dyDescent="0.2">
      <c r="A140" s="4">
        <v>139</v>
      </c>
      <c r="B140" s="5" t="str">
        <f>IFERROR(INDEX(一年級!$B:$B,MATCH(D140,一年級!$D:$D,0)),"")</f>
        <v>S108</v>
      </c>
      <c r="C140" s="4" t="s">
        <v>524</v>
      </c>
      <c r="D140" s="6" t="s">
        <v>525</v>
      </c>
      <c r="E140" s="6" t="s">
        <v>34</v>
      </c>
      <c r="F140" s="6" t="s">
        <v>19</v>
      </c>
      <c r="G140" s="6" t="s">
        <v>20</v>
      </c>
      <c r="H140" s="6" t="s">
        <v>526</v>
      </c>
      <c r="I140" s="5" t="s">
        <v>527</v>
      </c>
      <c r="J140" s="6" t="s">
        <v>17</v>
      </c>
    </row>
    <row r="141" spans="1:10" x14ac:dyDescent="0.2">
      <c r="A141" s="4">
        <v>140</v>
      </c>
      <c r="B141" s="5" t="str">
        <f>IFERROR(INDEX(五年級!$B:$B,MATCH(D141,五年級!$D:$D,0)),"")</f>
        <v>S520</v>
      </c>
      <c r="C141" s="4" t="s">
        <v>528</v>
      </c>
      <c r="D141" s="6" t="s">
        <v>529</v>
      </c>
      <c r="E141" s="6" t="s">
        <v>34</v>
      </c>
      <c r="F141" s="6" t="s">
        <v>60</v>
      </c>
      <c r="G141" s="6" t="s">
        <v>20</v>
      </c>
      <c r="H141" s="6" t="s">
        <v>526</v>
      </c>
      <c r="I141" s="5" t="s">
        <v>527</v>
      </c>
      <c r="J141" s="6" t="s">
        <v>17</v>
      </c>
    </row>
    <row r="142" spans="1:10" x14ac:dyDescent="0.2">
      <c r="A142" s="4">
        <v>141</v>
      </c>
      <c r="B142" s="5" t="str">
        <f>IFERROR(INDEX(三年級!$B:$B,MATCH(D142,三年級!$D:$D,0)),"")</f>
        <v>S315</v>
      </c>
      <c r="C142" s="4" t="s">
        <v>530</v>
      </c>
      <c r="D142" s="6" t="s">
        <v>531</v>
      </c>
      <c r="E142" s="6" t="s">
        <v>34</v>
      </c>
      <c r="F142" s="6" t="s">
        <v>46</v>
      </c>
      <c r="G142" s="6" t="s">
        <v>20</v>
      </c>
      <c r="H142" s="6" t="s">
        <v>532</v>
      </c>
      <c r="I142" s="5" t="s">
        <v>533</v>
      </c>
      <c r="J142" s="6" t="s">
        <v>17</v>
      </c>
    </row>
    <row r="143" spans="1:10" x14ac:dyDescent="0.2">
      <c r="A143" s="4">
        <v>142</v>
      </c>
      <c r="B143" s="5" t="str">
        <f>IFERROR(INDEX(二年級!$B:$B,MATCH(D143,二年級!$D:$D,0)),"")</f>
        <v>S212</v>
      </c>
      <c r="C143" s="4" t="s">
        <v>534</v>
      </c>
      <c r="D143" s="6" t="s">
        <v>535</v>
      </c>
      <c r="E143" s="6" t="s">
        <v>12</v>
      </c>
      <c r="F143" s="6" t="s">
        <v>55</v>
      </c>
      <c r="G143" s="6" t="s">
        <v>20</v>
      </c>
      <c r="H143" s="6" t="s">
        <v>536</v>
      </c>
      <c r="I143" s="5" t="s">
        <v>537</v>
      </c>
      <c r="J143" s="6" t="s">
        <v>17</v>
      </c>
    </row>
    <row r="144" spans="1:10" x14ac:dyDescent="0.2">
      <c r="A144" s="4">
        <v>143</v>
      </c>
      <c r="B144" s="5" t="str">
        <f>IFERROR(INDEX(二年級!$B:$B,MATCH(D144,二年級!$D:$D,0)),"")</f>
        <v>S212</v>
      </c>
      <c r="C144" s="4" t="s">
        <v>538</v>
      </c>
      <c r="D144" s="6" t="s">
        <v>539</v>
      </c>
      <c r="E144" s="6" t="s">
        <v>12</v>
      </c>
      <c r="F144" s="6" t="s">
        <v>55</v>
      </c>
      <c r="G144" s="6" t="s">
        <v>147</v>
      </c>
      <c r="H144" s="6" t="s">
        <v>540</v>
      </c>
      <c r="I144" s="5" t="s">
        <v>541</v>
      </c>
      <c r="J144" s="6" t="s">
        <v>17</v>
      </c>
    </row>
    <row r="145" spans="1:10" x14ac:dyDescent="0.2">
      <c r="A145" s="4">
        <v>144</v>
      </c>
      <c r="B145" s="5" t="str">
        <f>IFERROR(INDEX(三年級!$B:$B,MATCH(D145,三年級!$D:$D,0)),"")</f>
        <v>S315</v>
      </c>
      <c r="C145" s="4" t="s">
        <v>542</v>
      </c>
      <c r="D145" s="6" t="s">
        <v>543</v>
      </c>
      <c r="E145" s="6" t="s">
        <v>34</v>
      </c>
      <c r="F145" s="6" t="s">
        <v>46</v>
      </c>
      <c r="G145" s="6" t="s">
        <v>544</v>
      </c>
      <c r="H145" s="6" t="s">
        <v>545</v>
      </c>
      <c r="I145" s="5" t="s">
        <v>546</v>
      </c>
      <c r="J145" s="6" t="s">
        <v>17</v>
      </c>
    </row>
    <row r="146" spans="1:10" x14ac:dyDescent="0.2">
      <c r="A146" s="4">
        <v>145</v>
      </c>
      <c r="B146" s="5" t="str">
        <f>IFERROR(INDEX(四年級!$B:$B,MATCH(D146,四年級!$D:$D,0)),"")</f>
        <v>S418</v>
      </c>
      <c r="C146" s="4" t="s">
        <v>547</v>
      </c>
      <c r="D146" s="6" t="s">
        <v>548</v>
      </c>
      <c r="E146" s="6" t="s">
        <v>34</v>
      </c>
      <c r="F146" s="6" t="s">
        <v>13</v>
      </c>
      <c r="G146" s="6" t="s">
        <v>544</v>
      </c>
      <c r="H146" s="6" t="s">
        <v>545</v>
      </c>
      <c r="I146" s="5" t="s">
        <v>546</v>
      </c>
      <c r="J146" s="6" t="s">
        <v>17</v>
      </c>
    </row>
    <row r="147" spans="1:10" x14ac:dyDescent="0.2">
      <c r="A147" s="4">
        <v>146</v>
      </c>
      <c r="B147" s="5" t="str">
        <f>IFERROR(INDEX(學齡前!$B:$B,MATCH(D147,學齡前!$D:$D,0)),"")</f>
        <v>D003</v>
      </c>
      <c r="C147" s="4" t="s">
        <v>549</v>
      </c>
      <c r="D147" s="6" t="s">
        <v>550</v>
      </c>
      <c r="E147" s="6" t="s">
        <v>34</v>
      </c>
      <c r="F147" s="6" t="s">
        <v>28</v>
      </c>
      <c r="G147" s="6" t="s">
        <v>551</v>
      </c>
      <c r="H147" s="6" t="s">
        <v>552</v>
      </c>
      <c r="I147" s="5" t="s">
        <v>553</v>
      </c>
      <c r="J147" s="6" t="s">
        <v>17</v>
      </c>
    </row>
    <row r="148" spans="1:10" x14ac:dyDescent="0.2">
      <c r="A148" s="4">
        <v>147</v>
      </c>
      <c r="B148" s="5" t="str">
        <f>IFERROR(INDEX(學齡前!$B:$B,MATCH(D148,學齡前!$D:$D,0)),"")</f>
        <v>D005</v>
      </c>
      <c r="C148" s="4" t="s">
        <v>554</v>
      </c>
      <c r="D148" s="6" t="s">
        <v>555</v>
      </c>
      <c r="E148" s="6" t="s">
        <v>34</v>
      </c>
      <c r="F148" s="6" t="s">
        <v>35</v>
      </c>
      <c r="G148" s="6" t="s">
        <v>419</v>
      </c>
      <c r="H148" s="6" t="s">
        <v>556</v>
      </c>
      <c r="I148" s="5" t="s">
        <v>557</v>
      </c>
      <c r="J148" s="6" t="s">
        <v>558</v>
      </c>
    </row>
    <row r="149" spans="1:10" x14ac:dyDescent="0.2">
      <c r="A149" s="4">
        <v>148</v>
      </c>
      <c r="B149" s="5" t="str">
        <f>IFERROR(INDEX(學齡前!$B:$B,MATCH(D149,學齡前!$D:$D,0)),"")</f>
        <v>D002</v>
      </c>
      <c r="C149" s="4" t="s">
        <v>559</v>
      </c>
      <c r="D149" s="6" t="s">
        <v>560</v>
      </c>
      <c r="E149" s="6" t="s">
        <v>34</v>
      </c>
      <c r="F149" s="6" t="s">
        <v>72</v>
      </c>
      <c r="G149" s="6" t="s">
        <v>561</v>
      </c>
      <c r="H149" s="6" t="s">
        <v>562</v>
      </c>
      <c r="I149" s="5" t="s">
        <v>563</v>
      </c>
      <c r="J149" s="6" t="s">
        <v>17</v>
      </c>
    </row>
    <row r="150" spans="1:10" x14ac:dyDescent="0.2">
      <c r="A150" s="4">
        <v>149</v>
      </c>
      <c r="B150" s="5" t="str">
        <f>IFERROR(INDEX(二年級!$B:$B,MATCH(D150,二年級!$D:$D,0)),"")</f>
        <v>S212</v>
      </c>
      <c r="C150" s="4" t="s">
        <v>564</v>
      </c>
      <c r="D150" s="6" t="s">
        <v>565</v>
      </c>
      <c r="E150" s="6" t="s">
        <v>34</v>
      </c>
      <c r="F150" s="6" t="s">
        <v>55</v>
      </c>
      <c r="G150" s="6" t="s">
        <v>20</v>
      </c>
      <c r="H150" s="6" t="s">
        <v>566</v>
      </c>
      <c r="I150" s="5" t="s">
        <v>567</v>
      </c>
      <c r="J150" s="6" t="s">
        <v>17</v>
      </c>
    </row>
    <row r="151" spans="1:10" x14ac:dyDescent="0.2">
      <c r="A151" s="4">
        <v>150</v>
      </c>
      <c r="B151" s="5" t="str">
        <f>IFERROR(INDEX(學齡前!$B:$B,MATCH(D151,學齡前!$D:$D,0)),"")</f>
        <v>D005</v>
      </c>
      <c r="C151" s="4" t="s">
        <v>568</v>
      </c>
      <c r="D151" s="6" t="s">
        <v>569</v>
      </c>
      <c r="E151" s="6" t="s">
        <v>12</v>
      </c>
      <c r="F151" s="6" t="s">
        <v>35</v>
      </c>
      <c r="G151" s="6" t="s">
        <v>207</v>
      </c>
      <c r="H151" s="6" t="s">
        <v>566</v>
      </c>
      <c r="I151" s="5" t="s">
        <v>567</v>
      </c>
      <c r="J151" s="6" t="s">
        <v>17</v>
      </c>
    </row>
    <row r="152" spans="1:10" x14ac:dyDescent="0.2">
      <c r="A152" s="4">
        <v>151</v>
      </c>
      <c r="B152" s="5" t="str">
        <f>IFERROR(INDEX(二年級!$B:$B,MATCH(D152,二年級!$D:$D,0)),"")</f>
        <v>S212</v>
      </c>
      <c r="C152" s="4" t="s">
        <v>570</v>
      </c>
      <c r="D152" s="6" t="s">
        <v>571</v>
      </c>
      <c r="E152" s="6" t="s">
        <v>12</v>
      </c>
      <c r="F152" s="6" t="s">
        <v>55</v>
      </c>
      <c r="G152" s="6" t="s">
        <v>323</v>
      </c>
      <c r="H152" s="6" t="s">
        <v>572</v>
      </c>
      <c r="I152" s="5" t="s">
        <v>573</v>
      </c>
      <c r="J152" s="6" t="s">
        <v>17</v>
      </c>
    </row>
    <row r="153" spans="1:10" x14ac:dyDescent="0.2">
      <c r="A153" s="4">
        <v>152</v>
      </c>
      <c r="B153" s="5" t="str">
        <f>IFERROR(INDEX(學齡前!$B:$B,MATCH(D153,學齡前!$D:$D,0)),"")</f>
        <v>D003</v>
      </c>
      <c r="C153" s="4" t="s">
        <v>574</v>
      </c>
      <c r="D153" s="6" t="s">
        <v>575</v>
      </c>
      <c r="E153" s="6" t="s">
        <v>12</v>
      </c>
      <c r="F153" s="6" t="s">
        <v>28</v>
      </c>
      <c r="G153" s="6" t="s">
        <v>521</v>
      </c>
      <c r="H153" s="6" t="s">
        <v>576</v>
      </c>
      <c r="I153" s="5" t="s">
        <v>577</v>
      </c>
      <c r="J153" s="6" t="s">
        <v>17</v>
      </c>
    </row>
    <row r="154" spans="1:10" x14ac:dyDescent="0.2">
      <c r="A154" s="4">
        <v>153</v>
      </c>
      <c r="B154" s="5" t="str">
        <f>IFERROR(INDEX(學齡前!$B:$B,MATCH(D154,學齡前!$D:$D,0)),"")</f>
        <v>D005</v>
      </c>
      <c r="C154" s="4" t="s">
        <v>578</v>
      </c>
      <c r="D154" s="6" t="s">
        <v>579</v>
      </c>
      <c r="E154" s="6" t="s">
        <v>34</v>
      </c>
      <c r="F154" s="6" t="s">
        <v>35</v>
      </c>
      <c r="G154" s="6" t="s">
        <v>521</v>
      </c>
      <c r="H154" s="6" t="s">
        <v>576</v>
      </c>
      <c r="I154" s="5" t="s">
        <v>577</v>
      </c>
      <c r="J154" s="6" t="s">
        <v>17</v>
      </c>
    </row>
    <row r="155" spans="1:10" x14ac:dyDescent="0.2">
      <c r="A155" s="4">
        <v>154</v>
      </c>
      <c r="B155" s="5" t="str">
        <f>IFERROR(INDEX(四年級!$B:$B,MATCH(D155,四年級!$D:$D,0)),"")</f>
        <v>S418</v>
      </c>
      <c r="C155" s="4" t="s">
        <v>580</v>
      </c>
      <c r="D155" s="6" t="s">
        <v>581</v>
      </c>
      <c r="E155" s="6" t="s">
        <v>34</v>
      </c>
      <c r="F155" s="6" t="s">
        <v>13</v>
      </c>
      <c r="G155" s="6" t="s">
        <v>14</v>
      </c>
      <c r="H155" s="6" t="s">
        <v>582</v>
      </c>
      <c r="I155" s="5" t="s">
        <v>583</v>
      </c>
      <c r="J155" s="6" t="s">
        <v>17</v>
      </c>
    </row>
    <row r="156" spans="1:10" x14ac:dyDescent="0.2">
      <c r="A156" s="4">
        <v>155</v>
      </c>
      <c r="B156" s="5" t="str">
        <f>IFERROR(INDEX(學齡前!$B:$B,MATCH(D156,學齡前!$D:$D,0)),"")</f>
        <v>D005</v>
      </c>
      <c r="C156" s="4" t="s">
        <v>584</v>
      </c>
      <c r="D156" s="6" t="s">
        <v>585</v>
      </c>
      <c r="E156" s="6" t="s">
        <v>12</v>
      </c>
      <c r="F156" s="6" t="s">
        <v>35</v>
      </c>
      <c r="G156" s="6" t="s">
        <v>586</v>
      </c>
      <c r="H156" s="6" t="s">
        <v>587</v>
      </c>
      <c r="I156" s="5" t="s">
        <v>588</v>
      </c>
      <c r="J156" s="6" t="s">
        <v>17</v>
      </c>
    </row>
    <row r="157" spans="1:10" x14ac:dyDescent="0.2">
      <c r="A157" s="4">
        <v>156</v>
      </c>
      <c r="B157" s="5" t="str">
        <f>IFERROR(INDEX(五年級!$B:$B,MATCH(D157,五年級!$D:$D,0)),"")</f>
        <v>S520</v>
      </c>
      <c r="C157" s="4" t="s">
        <v>589</v>
      </c>
      <c r="D157" s="6" t="s">
        <v>590</v>
      </c>
      <c r="E157" s="6" t="s">
        <v>34</v>
      </c>
      <c r="F157" s="6" t="s">
        <v>60</v>
      </c>
      <c r="G157" s="6" t="s">
        <v>67</v>
      </c>
      <c r="H157" s="6" t="s">
        <v>591</v>
      </c>
      <c r="I157" s="5" t="s">
        <v>592</v>
      </c>
      <c r="J157" s="6" t="s">
        <v>17</v>
      </c>
    </row>
    <row r="158" spans="1:10" x14ac:dyDescent="0.2">
      <c r="A158" s="4">
        <v>157</v>
      </c>
      <c r="B158" s="5" t="str">
        <f>IFERROR(INDEX(一年級!$B:$B,MATCH(D158,一年級!$D:$D,0)),"")</f>
        <v>S108</v>
      </c>
      <c r="C158" s="4" t="s">
        <v>593</v>
      </c>
      <c r="D158" s="6" t="s">
        <v>594</v>
      </c>
      <c r="E158" s="6" t="s">
        <v>12</v>
      </c>
      <c r="F158" s="6" t="s">
        <v>19</v>
      </c>
      <c r="G158" s="6" t="s">
        <v>131</v>
      </c>
      <c r="H158" s="6" t="s">
        <v>595</v>
      </c>
      <c r="I158" s="5" t="s">
        <v>596</v>
      </c>
      <c r="J158" s="6" t="s">
        <v>17</v>
      </c>
    </row>
    <row r="159" spans="1:10" x14ac:dyDescent="0.2">
      <c r="A159" s="4">
        <v>158</v>
      </c>
      <c r="B159" s="5" t="str">
        <f>IFERROR(INDEX(一年級!$B:$B,MATCH(D159,一年級!$D:$D,0)),"")</f>
        <v>S108</v>
      </c>
      <c r="C159" s="4" t="s">
        <v>597</v>
      </c>
      <c r="D159" s="6" t="s">
        <v>598</v>
      </c>
      <c r="E159" s="6" t="s">
        <v>34</v>
      </c>
      <c r="F159" s="6" t="s">
        <v>19</v>
      </c>
      <c r="G159" s="6" t="s">
        <v>297</v>
      </c>
      <c r="H159" s="6" t="s">
        <v>599</v>
      </c>
      <c r="I159" s="5" t="s">
        <v>600</v>
      </c>
      <c r="J159" s="6" t="s">
        <v>17</v>
      </c>
    </row>
    <row r="160" spans="1:10" x14ac:dyDescent="0.2">
      <c r="A160" s="4">
        <v>159</v>
      </c>
      <c r="B160" s="5" t="str">
        <f>IFERROR(INDEX(五年級!$B:$B,MATCH(D160,五年級!$D:$D,0)),"")</f>
        <v>S521</v>
      </c>
      <c r="C160" s="4" t="s">
        <v>601</v>
      </c>
      <c r="D160" s="6" t="s">
        <v>602</v>
      </c>
      <c r="E160" s="6" t="s">
        <v>34</v>
      </c>
      <c r="F160" s="6" t="s">
        <v>60</v>
      </c>
      <c r="G160" s="6" t="s">
        <v>131</v>
      </c>
      <c r="H160" s="6" t="s">
        <v>603</v>
      </c>
      <c r="I160" s="5" t="s">
        <v>604</v>
      </c>
      <c r="J160" s="6" t="s">
        <v>17</v>
      </c>
    </row>
    <row r="161" spans="1:10" x14ac:dyDescent="0.2">
      <c r="A161" s="4">
        <v>160</v>
      </c>
      <c r="B161" s="5" t="str">
        <f>IFERROR(INDEX(一年級!$B:$B,MATCH(D161,一年級!$D:$D,0)),"")</f>
        <v>S108</v>
      </c>
      <c r="C161" s="4" t="s">
        <v>605</v>
      </c>
      <c r="D161" s="6" t="s">
        <v>606</v>
      </c>
      <c r="E161" s="6" t="s">
        <v>34</v>
      </c>
      <c r="F161" s="6" t="s">
        <v>19</v>
      </c>
      <c r="G161" s="6" t="s">
        <v>607</v>
      </c>
      <c r="H161" s="6" t="s">
        <v>608</v>
      </c>
      <c r="I161" s="5" t="s">
        <v>609</v>
      </c>
      <c r="J161" s="6" t="s">
        <v>17</v>
      </c>
    </row>
    <row r="162" spans="1:10" x14ac:dyDescent="0.2">
      <c r="A162" s="4">
        <v>161</v>
      </c>
      <c r="B162" s="5" t="str">
        <f>IFERROR(INDEX(三年級!$B:$B,MATCH(D162,三年級!$D:$D,0)),"")</f>
        <v>S315</v>
      </c>
      <c r="C162" s="4" t="s">
        <v>610</v>
      </c>
      <c r="D162" s="6" t="s">
        <v>611</v>
      </c>
      <c r="E162" s="6" t="s">
        <v>12</v>
      </c>
      <c r="F162" s="6" t="s">
        <v>46</v>
      </c>
      <c r="G162" s="6" t="s">
        <v>607</v>
      </c>
      <c r="H162" s="6" t="s">
        <v>608</v>
      </c>
      <c r="I162" s="5" t="s">
        <v>609</v>
      </c>
      <c r="J162" s="6" t="s">
        <v>17</v>
      </c>
    </row>
    <row r="163" spans="1:10" x14ac:dyDescent="0.2">
      <c r="A163" s="4">
        <v>162</v>
      </c>
      <c r="B163" s="5" t="str">
        <f>IFERROR(INDEX(三年級!$B:$B,MATCH(D163,三年級!$D:$D,0)),"")</f>
        <v>S315</v>
      </c>
      <c r="C163" s="4" t="s">
        <v>612</v>
      </c>
      <c r="D163" s="6" t="s">
        <v>613</v>
      </c>
      <c r="E163" s="6" t="s">
        <v>34</v>
      </c>
      <c r="F163" s="6" t="s">
        <v>46</v>
      </c>
      <c r="G163" s="6" t="s">
        <v>176</v>
      </c>
      <c r="H163" s="6" t="s">
        <v>614</v>
      </c>
      <c r="I163" s="5" t="s">
        <v>615</v>
      </c>
      <c r="J163" s="6" t="s">
        <v>17</v>
      </c>
    </row>
    <row r="164" spans="1:10" x14ac:dyDescent="0.2">
      <c r="A164" s="4">
        <v>163</v>
      </c>
      <c r="B164" s="5" t="str">
        <f>IFERROR(INDEX(二年級!$B:$B,MATCH(D164,二年級!$D:$D,0)),"")</f>
        <v>S212</v>
      </c>
      <c r="C164" s="4" t="s">
        <v>616</v>
      </c>
      <c r="D164" s="6" t="s">
        <v>617</v>
      </c>
      <c r="E164" s="6" t="s">
        <v>12</v>
      </c>
      <c r="F164" s="6" t="s">
        <v>55</v>
      </c>
      <c r="G164" s="6" t="s">
        <v>40</v>
      </c>
      <c r="H164" s="6" t="s">
        <v>618</v>
      </c>
      <c r="I164" s="5" t="s">
        <v>619</v>
      </c>
      <c r="J164" s="6" t="s">
        <v>17</v>
      </c>
    </row>
    <row r="165" spans="1:10" x14ac:dyDescent="0.2">
      <c r="A165" s="4">
        <v>164</v>
      </c>
      <c r="B165" s="5" t="str">
        <f>IFERROR(INDEX(學齡前!$B:$B,MATCH(D165,學齡前!$D:$D,0)),"")</f>
        <v>D005</v>
      </c>
      <c r="C165" s="4" t="s">
        <v>620</v>
      </c>
      <c r="D165" s="6" t="s">
        <v>621</v>
      </c>
      <c r="E165" s="6" t="s">
        <v>34</v>
      </c>
      <c r="F165" s="6" t="s">
        <v>35</v>
      </c>
      <c r="G165" s="6" t="s">
        <v>622</v>
      </c>
      <c r="H165" s="6" t="s">
        <v>17</v>
      </c>
      <c r="I165" s="5" t="s">
        <v>619</v>
      </c>
      <c r="J165" s="6" t="s">
        <v>17</v>
      </c>
    </row>
    <row r="166" spans="1:10" x14ac:dyDescent="0.2">
      <c r="A166" s="4">
        <v>165</v>
      </c>
      <c r="B166" s="5" t="str">
        <f>IFERROR(INDEX(三年級!$B:$B,MATCH(D166,三年級!$D:$D,0)),"")</f>
        <v>S315</v>
      </c>
      <c r="C166" s="4" t="s">
        <v>623</v>
      </c>
      <c r="D166" s="6" t="s">
        <v>624</v>
      </c>
      <c r="E166" s="6" t="s">
        <v>34</v>
      </c>
      <c r="F166" s="6" t="s">
        <v>46</v>
      </c>
      <c r="G166" s="6" t="s">
        <v>625</v>
      </c>
      <c r="H166" s="6" t="s">
        <v>252</v>
      </c>
      <c r="I166" s="5" t="s">
        <v>253</v>
      </c>
      <c r="J166" s="6" t="s">
        <v>17</v>
      </c>
    </row>
    <row r="167" spans="1:10" x14ac:dyDescent="0.2">
      <c r="A167" s="4">
        <v>166</v>
      </c>
      <c r="B167" s="5" t="str">
        <f>IFERROR(INDEX(學齡前!$B:$B,MATCH(D167,學齡前!$D:$D,0)),"")</f>
        <v>D005</v>
      </c>
      <c r="C167" s="4" t="s">
        <v>626</v>
      </c>
      <c r="D167" s="6" t="s">
        <v>627</v>
      </c>
      <c r="E167" s="6" t="s">
        <v>34</v>
      </c>
      <c r="F167" s="6" t="s">
        <v>35</v>
      </c>
      <c r="G167" s="6" t="s">
        <v>628</v>
      </c>
      <c r="H167" s="6" t="s">
        <v>629</v>
      </c>
      <c r="I167" s="5" t="s">
        <v>630</v>
      </c>
      <c r="J167" s="6" t="s">
        <v>17</v>
      </c>
    </row>
    <row r="168" spans="1:10" x14ac:dyDescent="0.2">
      <c r="A168" s="4">
        <v>167</v>
      </c>
      <c r="B168" s="5" t="str">
        <f>IFERROR(INDEX(二年級!$B:$B,MATCH(D168,二年級!$D:$D,0)),"")</f>
        <v>S212</v>
      </c>
      <c r="C168" s="4" t="s">
        <v>631</v>
      </c>
      <c r="D168" s="6" t="s">
        <v>632</v>
      </c>
      <c r="E168" s="6" t="s">
        <v>34</v>
      </c>
      <c r="F168" s="6" t="s">
        <v>55</v>
      </c>
      <c r="G168" s="6" t="s">
        <v>633</v>
      </c>
      <c r="H168" s="6" t="s">
        <v>629</v>
      </c>
      <c r="I168" s="5" t="s">
        <v>630</v>
      </c>
      <c r="J168" s="6" t="s">
        <v>17</v>
      </c>
    </row>
    <row r="169" spans="1:10" x14ac:dyDescent="0.2">
      <c r="A169" s="4">
        <v>168</v>
      </c>
      <c r="B169" s="5" t="str">
        <f>IFERROR(INDEX(四年級!$B:$B,MATCH(D169,四年級!$D:$D,0)),"")</f>
        <v>S418</v>
      </c>
      <c r="C169" s="4" t="s">
        <v>634</v>
      </c>
      <c r="D169" s="6" t="s">
        <v>635</v>
      </c>
      <c r="E169" s="6" t="s">
        <v>34</v>
      </c>
      <c r="F169" s="6" t="s">
        <v>13</v>
      </c>
      <c r="G169" s="6" t="s">
        <v>323</v>
      </c>
      <c r="H169" s="6" t="s">
        <v>636</v>
      </c>
      <c r="I169" s="5" t="s">
        <v>637</v>
      </c>
      <c r="J169" s="6" t="s">
        <v>17</v>
      </c>
    </row>
    <row r="170" spans="1:10" x14ac:dyDescent="0.2">
      <c r="A170" s="4">
        <v>169</v>
      </c>
      <c r="B170" s="5" t="str">
        <f>IFERROR(INDEX(二年級!$B:$B,MATCH(D170,二年級!$D:$D,0)),"")</f>
        <v>S212</v>
      </c>
      <c r="C170" s="4" t="s">
        <v>638</v>
      </c>
      <c r="D170" s="6" t="s">
        <v>639</v>
      </c>
      <c r="E170" s="6" t="s">
        <v>12</v>
      </c>
      <c r="F170" s="6" t="s">
        <v>55</v>
      </c>
      <c r="G170" s="6" t="s">
        <v>14</v>
      </c>
      <c r="H170" s="6" t="s">
        <v>640</v>
      </c>
      <c r="I170" s="5" t="s">
        <v>641</v>
      </c>
      <c r="J170" s="6" t="s">
        <v>17</v>
      </c>
    </row>
    <row r="171" spans="1:10" x14ac:dyDescent="0.2">
      <c r="A171" s="4">
        <v>170</v>
      </c>
      <c r="B171" s="5" t="str">
        <f>IFERROR(INDEX(一年級!$B:$B,MATCH(D171,一年級!$D:$D,0)),"")</f>
        <v>S108</v>
      </c>
      <c r="C171" s="4" t="s">
        <v>642</v>
      </c>
      <c r="D171" s="6" t="s">
        <v>643</v>
      </c>
      <c r="E171" s="6" t="s">
        <v>34</v>
      </c>
      <c r="F171" s="6" t="s">
        <v>19</v>
      </c>
      <c r="G171" s="6" t="s">
        <v>644</v>
      </c>
      <c r="H171" s="6" t="s">
        <v>645</v>
      </c>
      <c r="I171" s="5" t="s">
        <v>646</v>
      </c>
      <c r="J171" s="6" t="s">
        <v>17</v>
      </c>
    </row>
    <row r="172" spans="1:10" x14ac:dyDescent="0.2">
      <c r="A172" s="4">
        <v>171</v>
      </c>
      <c r="B172" s="5" t="str">
        <f>IFERROR(INDEX(學齡前!$B:$B,MATCH(D172,學齡前!$D:$D,0)),"")</f>
        <v>D002</v>
      </c>
      <c r="C172" s="4" t="s">
        <v>647</v>
      </c>
      <c r="D172" s="6" t="s">
        <v>648</v>
      </c>
      <c r="E172" s="6" t="s">
        <v>34</v>
      </c>
      <c r="F172" s="6" t="s">
        <v>72</v>
      </c>
      <c r="G172" s="6" t="s">
        <v>202</v>
      </c>
      <c r="H172" s="6" t="s">
        <v>649</v>
      </c>
      <c r="I172" s="5" t="s">
        <v>650</v>
      </c>
      <c r="J172" s="6" t="s">
        <v>17</v>
      </c>
    </row>
    <row r="173" spans="1:10" x14ac:dyDescent="0.2">
      <c r="A173" s="4">
        <v>172</v>
      </c>
      <c r="B173" s="5" t="str">
        <f>IFERROR(INDEX(六年級!$B:$B,MATCH(D173,六年級!$D:$D,0)),"")</f>
        <v>S623</v>
      </c>
      <c r="C173" s="4" t="s">
        <v>651</v>
      </c>
      <c r="D173" s="6" t="s">
        <v>652</v>
      </c>
      <c r="E173" s="6" t="s">
        <v>12</v>
      </c>
      <c r="F173" s="6" t="s">
        <v>66</v>
      </c>
      <c r="G173" s="6" t="s">
        <v>653</v>
      </c>
      <c r="H173" s="6" t="s">
        <v>654</v>
      </c>
      <c r="I173" s="5" t="s">
        <v>655</v>
      </c>
      <c r="J173" s="6" t="s">
        <v>17</v>
      </c>
    </row>
    <row r="174" spans="1:10" x14ac:dyDescent="0.2">
      <c r="A174" s="4">
        <v>173</v>
      </c>
      <c r="B174" s="5" t="str">
        <f>IFERROR(INDEX(四年級!$B:$B,MATCH(D174,四年級!$D:$D,0)),"")</f>
        <v>S418</v>
      </c>
      <c r="C174" s="4" t="s">
        <v>656</v>
      </c>
      <c r="D174" s="6" t="s">
        <v>657</v>
      </c>
      <c r="E174" s="6" t="s">
        <v>34</v>
      </c>
      <c r="F174" s="6" t="s">
        <v>13</v>
      </c>
      <c r="G174" s="6" t="s">
        <v>653</v>
      </c>
      <c r="H174" s="6" t="s">
        <v>654</v>
      </c>
      <c r="I174" s="5" t="s">
        <v>658</v>
      </c>
      <c r="J174" s="6" t="s">
        <v>17</v>
      </c>
    </row>
    <row r="175" spans="1:10" x14ac:dyDescent="0.2">
      <c r="A175" s="4">
        <v>174</v>
      </c>
      <c r="B175" s="5" t="str">
        <f>IFERROR(INDEX(一年級!$B:$B,MATCH(D175,一年級!$D:$D,0)),"")</f>
        <v>S109</v>
      </c>
      <c r="C175" s="4" t="s">
        <v>659</v>
      </c>
      <c r="D175" s="6" t="s">
        <v>660</v>
      </c>
      <c r="E175" s="6" t="s">
        <v>34</v>
      </c>
      <c r="F175" s="6" t="s">
        <v>19</v>
      </c>
      <c r="G175" s="6" t="s">
        <v>653</v>
      </c>
      <c r="H175" s="6" t="s">
        <v>654</v>
      </c>
      <c r="I175" s="5" t="s">
        <v>658</v>
      </c>
      <c r="J175" s="6" t="s">
        <v>17</v>
      </c>
    </row>
    <row r="176" spans="1:10" x14ac:dyDescent="0.2">
      <c r="A176" s="4">
        <v>175</v>
      </c>
      <c r="B176" s="5" t="str">
        <f>IFERROR(INDEX(四年級!$B:$B,MATCH(D176,四年級!$D:$D,0)),"")</f>
        <v>S418</v>
      </c>
      <c r="C176" s="4" t="s">
        <v>661</v>
      </c>
      <c r="D176" s="6" t="s">
        <v>662</v>
      </c>
      <c r="E176" s="6" t="s">
        <v>34</v>
      </c>
      <c r="F176" s="6" t="s">
        <v>13</v>
      </c>
      <c r="G176" s="6" t="s">
        <v>131</v>
      </c>
      <c r="H176" s="6" t="s">
        <v>663</v>
      </c>
      <c r="I176" s="5" t="s">
        <v>664</v>
      </c>
      <c r="J176" s="6" t="s">
        <v>17</v>
      </c>
    </row>
    <row r="177" spans="1:10" x14ac:dyDescent="0.2">
      <c r="A177" s="4">
        <v>176</v>
      </c>
      <c r="B177" s="5" t="str">
        <f>IFERROR(INDEX(五年級!$B:$B,MATCH(D177,五年級!$D:$D,0)),"")</f>
        <v>S521</v>
      </c>
      <c r="C177" s="4" t="s">
        <v>665</v>
      </c>
      <c r="D177" s="6" t="s">
        <v>666</v>
      </c>
      <c r="E177" s="6" t="s">
        <v>12</v>
      </c>
      <c r="F177" s="6" t="s">
        <v>60</v>
      </c>
      <c r="G177" s="6" t="s">
        <v>131</v>
      </c>
      <c r="H177" s="6" t="s">
        <v>663</v>
      </c>
      <c r="I177" s="5" t="s">
        <v>667</v>
      </c>
      <c r="J177" s="6" t="s">
        <v>17</v>
      </c>
    </row>
    <row r="178" spans="1:10" x14ac:dyDescent="0.2">
      <c r="A178" s="4">
        <v>177</v>
      </c>
      <c r="B178" s="5" t="str">
        <f>IFERROR(INDEX(一年級!$B:$B,MATCH(D178,一年級!$D:$D,0)),"")</f>
        <v>S109</v>
      </c>
      <c r="C178" s="4" t="s">
        <v>668</v>
      </c>
      <c r="D178" s="6" t="s">
        <v>669</v>
      </c>
      <c r="E178" s="6" t="s">
        <v>12</v>
      </c>
      <c r="F178" s="6" t="s">
        <v>19</v>
      </c>
      <c r="G178" s="6" t="s">
        <v>67</v>
      </c>
      <c r="H178" s="6" t="s">
        <v>670</v>
      </c>
      <c r="I178" s="5" t="s">
        <v>671</v>
      </c>
      <c r="J178" s="6" t="s">
        <v>17</v>
      </c>
    </row>
    <row r="179" spans="1:10" x14ac:dyDescent="0.2">
      <c r="A179" s="4">
        <v>178</v>
      </c>
      <c r="B179" s="5" t="str">
        <f>IFERROR(INDEX(四年級!$B:$B,MATCH(D179,四年級!$D:$D,0)),"")</f>
        <v>S418</v>
      </c>
      <c r="C179" s="4" t="s">
        <v>672</v>
      </c>
      <c r="D179" s="6" t="s">
        <v>673</v>
      </c>
      <c r="E179" s="6" t="s">
        <v>12</v>
      </c>
      <c r="F179" s="6" t="s">
        <v>13</v>
      </c>
      <c r="G179" s="6" t="s">
        <v>67</v>
      </c>
      <c r="H179" s="6" t="s">
        <v>670</v>
      </c>
      <c r="I179" s="5" t="s">
        <v>671</v>
      </c>
      <c r="J179" s="6" t="s">
        <v>17</v>
      </c>
    </row>
    <row r="180" spans="1:10" x14ac:dyDescent="0.2">
      <c r="A180" s="4">
        <v>179</v>
      </c>
      <c r="B180" s="5" t="str">
        <f>IFERROR(INDEX(學齡前!$B:$B,MATCH(D180,學齡前!$D:$D,0)),"")</f>
        <v>D005</v>
      </c>
      <c r="C180" s="4" t="s">
        <v>674</v>
      </c>
      <c r="D180" s="6" t="s">
        <v>675</v>
      </c>
      <c r="E180" s="6" t="s">
        <v>34</v>
      </c>
      <c r="F180" s="6" t="s">
        <v>35</v>
      </c>
      <c r="G180" s="6" t="s">
        <v>676</v>
      </c>
      <c r="H180" s="6" t="s">
        <v>677</v>
      </c>
      <c r="I180" s="5" t="s">
        <v>678</v>
      </c>
      <c r="J180" s="6" t="s">
        <v>17</v>
      </c>
    </row>
    <row r="181" spans="1:10" x14ac:dyDescent="0.2">
      <c r="A181" s="4">
        <v>180</v>
      </c>
      <c r="B181" s="5" t="str">
        <f>IFERROR(INDEX(五年級!$B:$B,MATCH(D181,五年級!$D:$D,0)),"")</f>
        <v>S521</v>
      </c>
      <c r="C181" s="4" t="s">
        <v>679</v>
      </c>
      <c r="D181" s="6" t="s">
        <v>680</v>
      </c>
      <c r="E181" s="6" t="s">
        <v>34</v>
      </c>
      <c r="F181" s="6" t="s">
        <v>60</v>
      </c>
      <c r="G181" s="6" t="s">
        <v>681</v>
      </c>
      <c r="H181" s="6" t="s">
        <v>682</v>
      </c>
      <c r="I181" s="5" t="s">
        <v>683</v>
      </c>
      <c r="J181" s="6" t="s">
        <v>17</v>
      </c>
    </row>
    <row r="182" spans="1:10" x14ac:dyDescent="0.2">
      <c r="A182" s="4">
        <v>181</v>
      </c>
      <c r="B182" s="5" t="str">
        <f>IFERROR(INDEX(學齡前!$B:$B,MATCH(D182,學齡前!$D:$D,0)),"")</f>
        <v>D005</v>
      </c>
      <c r="C182" s="4" t="s">
        <v>684</v>
      </c>
      <c r="D182" s="6" t="s">
        <v>685</v>
      </c>
      <c r="E182" s="6" t="s">
        <v>34</v>
      </c>
      <c r="F182" s="6" t="s">
        <v>35</v>
      </c>
      <c r="G182" s="6" t="s">
        <v>686</v>
      </c>
      <c r="H182" s="6" t="s">
        <v>687</v>
      </c>
      <c r="I182" s="5" t="s">
        <v>688</v>
      </c>
      <c r="J182" s="6" t="s">
        <v>17</v>
      </c>
    </row>
    <row r="183" spans="1:10" x14ac:dyDescent="0.2">
      <c r="A183" s="4">
        <v>182</v>
      </c>
      <c r="B183" s="5" t="str">
        <f>IFERROR(INDEX(二年級!$B:$B,MATCH(D183,二年級!$D:$D,0)),"")</f>
        <v>S212</v>
      </c>
      <c r="C183" s="4" t="s">
        <v>689</v>
      </c>
      <c r="D183" s="6" t="s">
        <v>690</v>
      </c>
      <c r="E183" s="6" t="s">
        <v>34</v>
      </c>
      <c r="F183" s="6" t="s">
        <v>55</v>
      </c>
      <c r="G183" s="6" t="s">
        <v>691</v>
      </c>
      <c r="H183" s="6" t="s">
        <v>692</v>
      </c>
      <c r="I183" s="5" t="s">
        <v>693</v>
      </c>
      <c r="J183" s="6" t="s">
        <v>17</v>
      </c>
    </row>
    <row r="184" spans="1:10" x14ac:dyDescent="0.2">
      <c r="A184" s="4">
        <v>183</v>
      </c>
      <c r="B184" s="5" t="str">
        <f>IFERROR(INDEX(二年級!$B:$B,MATCH(D184,二年級!$D:$D,0)),"")</f>
        <v>S212</v>
      </c>
      <c r="C184" s="4" t="s">
        <v>694</v>
      </c>
      <c r="D184" s="6" t="s">
        <v>695</v>
      </c>
      <c r="E184" s="6" t="s">
        <v>12</v>
      </c>
      <c r="F184" s="6" t="s">
        <v>55</v>
      </c>
      <c r="G184" s="6" t="s">
        <v>323</v>
      </c>
      <c r="H184" s="6" t="s">
        <v>696</v>
      </c>
      <c r="I184" s="5" t="s">
        <v>697</v>
      </c>
      <c r="J184" s="6" t="s">
        <v>17</v>
      </c>
    </row>
    <row r="185" spans="1:10" x14ac:dyDescent="0.2">
      <c r="A185" s="4">
        <v>184</v>
      </c>
      <c r="B185" s="5" t="str">
        <f>IFERROR(INDEX(五年級!$B:$B,MATCH(D185,五年級!$D:$D,0)),"")</f>
        <v>S521</v>
      </c>
      <c r="C185" s="4" t="s">
        <v>698</v>
      </c>
      <c r="D185" s="6" t="s">
        <v>699</v>
      </c>
      <c r="E185" s="6" t="s">
        <v>34</v>
      </c>
      <c r="F185" s="6" t="s">
        <v>60</v>
      </c>
      <c r="G185" s="6" t="s">
        <v>700</v>
      </c>
      <c r="H185" s="6" t="s">
        <v>701</v>
      </c>
      <c r="I185" s="5" t="s">
        <v>702</v>
      </c>
      <c r="J185" s="6" t="s">
        <v>17</v>
      </c>
    </row>
    <row r="186" spans="1:10" x14ac:dyDescent="0.2">
      <c r="A186" s="4">
        <v>185</v>
      </c>
      <c r="B186" s="5" t="str">
        <f>IFERROR(INDEX(三年級!$B:$B,MATCH(D186,三年級!$D:$D,0)),"")</f>
        <v>S315</v>
      </c>
      <c r="C186" s="4" t="s">
        <v>703</v>
      </c>
      <c r="D186" s="6" t="s">
        <v>704</v>
      </c>
      <c r="E186" s="6" t="s">
        <v>12</v>
      </c>
      <c r="F186" s="6" t="s">
        <v>46</v>
      </c>
      <c r="G186" s="6" t="s">
        <v>98</v>
      </c>
      <c r="H186" s="6" t="s">
        <v>705</v>
      </c>
      <c r="I186" s="5" t="s">
        <v>706</v>
      </c>
      <c r="J186" s="6" t="s">
        <v>17</v>
      </c>
    </row>
    <row r="187" spans="1:10" x14ac:dyDescent="0.2">
      <c r="A187" s="4">
        <v>186</v>
      </c>
      <c r="B187" s="5" t="str">
        <f>IFERROR(INDEX(二年級!$B:$B,MATCH(D187,二年級!$D:$D,0)),"")</f>
        <v>S212</v>
      </c>
      <c r="C187" s="4" t="s">
        <v>707</v>
      </c>
      <c r="D187" s="6" t="s">
        <v>708</v>
      </c>
      <c r="E187" s="6" t="s">
        <v>34</v>
      </c>
      <c r="F187" s="6" t="s">
        <v>55</v>
      </c>
      <c r="G187" s="6" t="s">
        <v>709</v>
      </c>
      <c r="H187" s="6" t="s">
        <v>710</v>
      </c>
      <c r="I187" s="5" t="s">
        <v>711</v>
      </c>
      <c r="J187" s="6" t="s">
        <v>17</v>
      </c>
    </row>
    <row r="188" spans="1:10" x14ac:dyDescent="0.2">
      <c r="A188" s="4">
        <v>187</v>
      </c>
      <c r="B188" s="5" t="str">
        <f>IFERROR(INDEX(學齡前!$B:$B,MATCH(D188,學齡前!$D:$D,0)),"")</f>
        <v>D005</v>
      </c>
      <c r="C188" s="4" t="s">
        <v>712</v>
      </c>
      <c r="D188" s="6" t="s">
        <v>713</v>
      </c>
      <c r="E188" s="6" t="s">
        <v>12</v>
      </c>
      <c r="F188" s="6" t="s">
        <v>35</v>
      </c>
      <c r="G188" s="6" t="s">
        <v>419</v>
      </c>
      <c r="H188" s="6" t="s">
        <v>714</v>
      </c>
      <c r="I188" s="5" t="s">
        <v>715</v>
      </c>
      <c r="J188" s="6" t="s">
        <v>17</v>
      </c>
    </row>
    <row r="189" spans="1:10" x14ac:dyDescent="0.2">
      <c r="A189" s="4">
        <v>188</v>
      </c>
      <c r="B189" s="5" t="str">
        <f>IFERROR(INDEX(學齡前!$B:$B,MATCH(D189,學齡前!$D:$D,0)),"")</f>
        <v>D003</v>
      </c>
      <c r="C189" s="4" t="s">
        <v>716</v>
      </c>
      <c r="D189" s="6" t="s">
        <v>717</v>
      </c>
      <c r="E189" s="6" t="s">
        <v>12</v>
      </c>
      <c r="F189" s="6" t="s">
        <v>28</v>
      </c>
      <c r="G189" s="6" t="s">
        <v>718</v>
      </c>
      <c r="H189" s="6" t="s">
        <v>719</v>
      </c>
      <c r="I189" s="5" t="s">
        <v>720</v>
      </c>
      <c r="J189" s="6" t="s">
        <v>17</v>
      </c>
    </row>
    <row r="190" spans="1:10" x14ac:dyDescent="0.2">
      <c r="A190" s="4">
        <v>189</v>
      </c>
      <c r="B190" s="5" t="str">
        <f>IFERROR(INDEX(三年級!$B:$B,MATCH(D190,三年級!$D:$D,0)),"")</f>
        <v>S316</v>
      </c>
      <c r="C190" s="4" t="s">
        <v>721</v>
      </c>
      <c r="D190" s="6" t="s">
        <v>722</v>
      </c>
      <c r="E190" s="6" t="s">
        <v>34</v>
      </c>
      <c r="F190" s="6" t="s">
        <v>46</v>
      </c>
      <c r="G190" s="6" t="s">
        <v>131</v>
      </c>
      <c r="H190" s="6" t="s">
        <v>719</v>
      </c>
      <c r="I190" s="5" t="s">
        <v>720</v>
      </c>
      <c r="J190" s="6" t="s">
        <v>17</v>
      </c>
    </row>
    <row r="191" spans="1:10" x14ac:dyDescent="0.2">
      <c r="A191" s="4">
        <v>190</v>
      </c>
      <c r="B191" s="5" t="str">
        <f>IFERROR(INDEX(二年級!$B:$B,MATCH(D191,二年級!$D:$D,0)),"")</f>
        <v>S213</v>
      </c>
      <c r="C191" s="4" t="s">
        <v>723</v>
      </c>
      <c r="D191" s="6" t="s">
        <v>724</v>
      </c>
      <c r="E191" s="6" t="s">
        <v>12</v>
      </c>
      <c r="F191" s="6" t="s">
        <v>55</v>
      </c>
      <c r="G191" s="6" t="s">
        <v>725</v>
      </c>
      <c r="H191" s="6" t="s">
        <v>726</v>
      </c>
      <c r="I191" s="5" t="s">
        <v>727</v>
      </c>
      <c r="J191" s="6" t="s">
        <v>17</v>
      </c>
    </row>
    <row r="192" spans="1:10" x14ac:dyDescent="0.2">
      <c r="A192" s="4">
        <v>191</v>
      </c>
      <c r="B192" s="5" t="str">
        <f>IFERROR(INDEX(六年級!$B:$B,MATCH(D192,六年級!$D:$D,0)),"")</f>
        <v>S623</v>
      </c>
      <c r="C192" s="4" t="s">
        <v>728</v>
      </c>
      <c r="D192" s="6" t="s">
        <v>729</v>
      </c>
      <c r="E192" s="6" t="s">
        <v>12</v>
      </c>
      <c r="F192" s="6" t="s">
        <v>66</v>
      </c>
      <c r="G192" s="6" t="s">
        <v>98</v>
      </c>
      <c r="H192" s="6" t="s">
        <v>730</v>
      </c>
      <c r="I192" s="5" t="s">
        <v>731</v>
      </c>
      <c r="J192" s="6" t="s">
        <v>17</v>
      </c>
    </row>
    <row r="193" spans="1:10" x14ac:dyDescent="0.2">
      <c r="A193" s="4">
        <v>192</v>
      </c>
      <c r="B193" s="5" t="str">
        <f>IFERROR(INDEX(一年級!$B:$B,MATCH(D193,一年級!$D:$D,0)),"")</f>
        <v>S109</v>
      </c>
      <c r="C193" s="4" t="s">
        <v>732</v>
      </c>
      <c r="D193" s="6" t="s">
        <v>733</v>
      </c>
      <c r="E193" s="6" t="s">
        <v>12</v>
      </c>
      <c r="F193" s="6" t="s">
        <v>19</v>
      </c>
      <c r="G193" s="6" t="s">
        <v>98</v>
      </c>
      <c r="H193" s="6" t="s">
        <v>730</v>
      </c>
      <c r="I193" s="5" t="s">
        <v>731</v>
      </c>
      <c r="J193" s="6" t="s">
        <v>17</v>
      </c>
    </row>
    <row r="194" spans="1:10" x14ac:dyDescent="0.2">
      <c r="A194" s="4">
        <v>193</v>
      </c>
      <c r="B194" s="5" t="str">
        <f>IFERROR(INDEX(六年級!$B:$B,MATCH(D194,六年級!$D:$D,0)),"")</f>
        <v>S623</v>
      </c>
      <c r="C194" s="4" t="s">
        <v>734</v>
      </c>
      <c r="D194" s="6" t="s">
        <v>735</v>
      </c>
      <c r="E194" s="6" t="s">
        <v>12</v>
      </c>
      <c r="F194" s="6" t="s">
        <v>66</v>
      </c>
      <c r="G194" s="6" t="s">
        <v>98</v>
      </c>
      <c r="H194" s="6" t="s">
        <v>736</v>
      </c>
      <c r="I194" s="5" t="s">
        <v>737</v>
      </c>
      <c r="J194" s="6" t="s">
        <v>17</v>
      </c>
    </row>
    <row r="195" spans="1:10" x14ac:dyDescent="0.2">
      <c r="A195" s="4">
        <v>194</v>
      </c>
      <c r="B195" s="5" t="str">
        <f>IFERROR(INDEX(一年級!$B:$B,MATCH(D195,一年級!$D:$D,0)),"")</f>
        <v>S109</v>
      </c>
      <c r="C195" s="4" t="s">
        <v>738</v>
      </c>
      <c r="D195" s="6" t="s">
        <v>739</v>
      </c>
      <c r="E195" s="6" t="s">
        <v>34</v>
      </c>
      <c r="F195" s="6" t="s">
        <v>19</v>
      </c>
      <c r="G195" s="6" t="s">
        <v>147</v>
      </c>
      <c r="H195" s="6" t="s">
        <v>740</v>
      </c>
      <c r="I195" s="5" t="s">
        <v>741</v>
      </c>
      <c r="J195" s="6" t="s">
        <v>17</v>
      </c>
    </row>
    <row r="196" spans="1:10" x14ac:dyDescent="0.2">
      <c r="A196" s="4">
        <v>195</v>
      </c>
      <c r="B196" s="5" t="str">
        <f>IFERROR(INDEX(學齡前!$B:$B,MATCH(D196,學齡前!$D:$D,0)),"")</f>
        <v>D003</v>
      </c>
      <c r="C196" s="4" t="s">
        <v>742</v>
      </c>
      <c r="D196" s="6" t="s">
        <v>743</v>
      </c>
      <c r="E196" s="6" t="s">
        <v>12</v>
      </c>
      <c r="F196" s="6" t="s">
        <v>28</v>
      </c>
      <c r="G196" s="6" t="s">
        <v>73</v>
      </c>
      <c r="H196" s="6" t="s">
        <v>740</v>
      </c>
      <c r="I196" s="5" t="s">
        <v>741</v>
      </c>
      <c r="J196" s="6" t="s">
        <v>17</v>
      </c>
    </row>
    <row r="197" spans="1:10" x14ac:dyDescent="0.2">
      <c r="A197" s="4">
        <v>196</v>
      </c>
      <c r="B197" s="5" t="str">
        <f>IFERROR(INDEX(一年級!$B:$B,MATCH(D197,一年級!$D:$D,0)),"")</f>
        <v>S109</v>
      </c>
      <c r="C197" s="4" t="s">
        <v>744</v>
      </c>
      <c r="D197" s="6" t="s">
        <v>745</v>
      </c>
      <c r="E197" s="6" t="s">
        <v>34</v>
      </c>
      <c r="F197" s="6" t="s">
        <v>19</v>
      </c>
      <c r="G197" s="6" t="s">
        <v>147</v>
      </c>
      <c r="H197" s="6" t="s">
        <v>746</v>
      </c>
      <c r="I197" s="5" t="s">
        <v>747</v>
      </c>
      <c r="J197" s="6" t="s">
        <v>17</v>
      </c>
    </row>
    <row r="198" spans="1:10" x14ac:dyDescent="0.2">
      <c r="A198" s="4">
        <v>197</v>
      </c>
      <c r="B198" s="5" t="str">
        <f>IFERROR(INDEX(一年級!$B:$B,MATCH(D198,一年級!$D:$D,0)),"")</f>
        <v>S109</v>
      </c>
      <c r="C198" s="4" t="s">
        <v>748</v>
      </c>
      <c r="D198" s="6" t="s">
        <v>749</v>
      </c>
      <c r="E198" s="6" t="s">
        <v>34</v>
      </c>
      <c r="F198" s="6" t="s">
        <v>19</v>
      </c>
      <c r="G198" s="6" t="s">
        <v>20</v>
      </c>
      <c r="H198" s="6" t="s">
        <v>750</v>
      </c>
      <c r="I198" s="5" t="s">
        <v>751</v>
      </c>
      <c r="J198" s="6" t="s">
        <v>17</v>
      </c>
    </row>
    <row r="199" spans="1:10" x14ac:dyDescent="0.2">
      <c r="A199" s="4">
        <v>198</v>
      </c>
      <c r="B199" s="5" t="str">
        <f>IFERROR(INDEX(學齡前!$B:$B,MATCH(D199,學齡前!$D:$D,0)),"")</f>
        <v>D003</v>
      </c>
      <c r="C199" s="4" t="s">
        <v>752</v>
      </c>
      <c r="D199" s="6" t="s">
        <v>753</v>
      </c>
      <c r="E199" s="6" t="s">
        <v>12</v>
      </c>
      <c r="F199" s="6" t="s">
        <v>28</v>
      </c>
      <c r="G199" s="6" t="s">
        <v>754</v>
      </c>
      <c r="H199" s="6" t="s">
        <v>750</v>
      </c>
      <c r="I199" s="5" t="s">
        <v>751</v>
      </c>
      <c r="J199" s="6" t="s">
        <v>17</v>
      </c>
    </row>
    <row r="200" spans="1:10" x14ac:dyDescent="0.2">
      <c r="A200" s="4">
        <v>199</v>
      </c>
      <c r="B200" s="5" t="str">
        <f>IFERROR(INDEX(一年級!$B:$B,MATCH(D200,一年級!$D:$D,0)),"")</f>
        <v>S109</v>
      </c>
      <c r="C200" s="4" t="s">
        <v>755</v>
      </c>
      <c r="D200" s="6" t="s">
        <v>756</v>
      </c>
      <c r="E200" s="6" t="s">
        <v>34</v>
      </c>
      <c r="F200" s="6" t="s">
        <v>19</v>
      </c>
      <c r="G200" s="6" t="s">
        <v>176</v>
      </c>
      <c r="H200" s="6" t="s">
        <v>757</v>
      </c>
      <c r="I200" s="5" t="s">
        <v>758</v>
      </c>
      <c r="J200" s="6" t="s">
        <v>17</v>
      </c>
    </row>
    <row r="201" spans="1:10" x14ac:dyDescent="0.2">
      <c r="A201" s="4">
        <v>200</v>
      </c>
      <c r="B201" s="5" t="str">
        <f>IFERROR(INDEX(三年級!$B:$B,MATCH(D201,三年級!$D:$D,0)),"")</f>
        <v>S316</v>
      </c>
      <c r="C201" s="4" t="s">
        <v>759</v>
      </c>
      <c r="D201" s="6" t="s">
        <v>760</v>
      </c>
      <c r="E201" s="6" t="s">
        <v>12</v>
      </c>
      <c r="F201" s="6" t="s">
        <v>46</v>
      </c>
      <c r="G201" s="6" t="s">
        <v>176</v>
      </c>
      <c r="H201" s="6" t="s">
        <v>757</v>
      </c>
      <c r="I201" s="5" t="s">
        <v>758</v>
      </c>
      <c r="J201" s="6" t="s">
        <v>17</v>
      </c>
    </row>
    <row r="202" spans="1:10" x14ac:dyDescent="0.2">
      <c r="A202" s="4">
        <v>201</v>
      </c>
      <c r="B202" s="5" t="str">
        <f>IFERROR(INDEX(五年級!$B:$B,MATCH(D202,五年級!$D:$D,0)),"")</f>
        <v>S521</v>
      </c>
      <c r="C202" s="4" t="s">
        <v>761</v>
      </c>
      <c r="D202" s="6" t="s">
        <v>762</v>
      </c>
      <c r="E202" s="6" t="s">
        <v>34</v>
      </c>
      <c r="F202" s="6" t="s">
        <v>60</v>
      </c>
      <c r="G202" s="6" t="s">
        <v>763</v>
      </c>
      <c r="H202" s="6" t="s">
        <v>764</v>
      </c>
      <c r="I202" s="5" t="s">
        <v>765</v>
      </c>
      <c r="J202" s="6" t="s">
        <v>17</v>
      </c>
    </row>
    <row r="203" spans="1:10" x14ac:dyDescent="0.2">
      <c r="A203" s="4">
        <v>202</v>
      </c>
      <c r="B203" s="5" t="str">
        <f>IFERROR(INDEX(三年級!$B:$B,MATCH(D203,三年級!$D:$D,0)),"")</f>
        <v>S316</v>
      </c>
      <c r="C203" s="4" t="s">
        <v>766</v>
      </c>
      <c r="D203" s="6" t="s">
        <v>767</v>
      </c>
      <c r="E203" s="6" t="s">
        <v>12</v>
      </c>
      <c r="F203" s="6" t="s">
        <v>46</v>
      </c>
      <c r="G203" s="6" t="s">
        <v>768</v>
      </c>
      <c r="H203" s="6" t="s">
        <v>769</v>
      </c>
      <c r="I203" s="5" t="s">
        <v>770</v>
      </c>
      <c r="J203" s="6" t="s">
        <v>17</v>
      </c>
    </row>
    <row r="204" spans="1:10" x14ac:dyDescent="0.2">
      <c r="A204" s="4">
        <v>203</v>
      </c>
      <c r="B204" s="5" t="str">
        <f>IFERROR(INDEX(二年級!$B:$B,MATCH(D204,二年級!$D:$D,0)),"")</f>
        <v>S213</v>
      </c>
      <c r="C204" s="4" t="s">
        <v>771</v>
      </c>
      <c r="D204" s="6" t="s">
        <v>772</v>
      </c>
      <c r="E204" s="6" t="s">
        <v>34</v>
      </c>
      <c r="F204" s="6" t="s">
        <v>55</v>
      </c>
      <c r="G204" s="6" t="s">
        <v>456</v>
      </c>
      <c r="H204" s="6" t="s">
        <v>773</v>
      </c>
      <c r="I204" s="5" t="s">
        <v>774</v>
      </c>
      <c r="J204" s="6" t="s">
        <v>17</v>
      </c>
    </row>
    <row r="205" spans="1:10" x14ac:dyDescent="0.2">
      <c r="A205" s="4">
        <v>204</v>
      </c>
      <c r="B205" s="5" t="str">
        <f>IFERROR(INDEX(學齡前!$B:$B,MATCH(D205,學齡前!$D:$D,0)),"")</f>
        <v>D005</v>
      </c>
      <c r="C205" s="4" t="s">
        <v>775</v>
      </c>
      <c r="D205" s="6" t="s">
        <v>776</v>
      </c>
      <c r="E205" s="6" t="s">
        <v>12</v>
      </c>
      <c r="F205" s="6" t="s">
        <v>35</v>
      </c>
      <c r="G205" s="6" t="s">
        <v>456</v>
      </c>
      <c r="H205" s="6" t="s">
        <v>773</v>
      </c>
      <c r="I205" s="5" t="s">
        <v>774</v>
      </c>
      <c r="J205" s="6" t="s">
        <v>17</v>
      </c>
    </row>
    <row r="206" spans="1:10" x14ac:dyDescent="0.2">
      <c r="A206" s="4">
        <v>205</v>
      </c>
      <c r="B206" s="5" t="str">
        <f>IFERROR(INDEX(六年級!$B:$B,MATCH(D206,六年級!$D:$D,0)),"")</f>
        <v>S623</v>
      </c>
      <c r="C206" s="4" t="s">
        <v>777</v>
      </c>
      <c r="D206" s="6" t="s">
        <v>778</v>
      </c>
      <c r="E206" s="6" t="s">
        <v>34</v>
      </c>
      <c r="F206" s="6" t="s">
        <v>66</v>
      </c>
      <c r="G206" s="6" t="s">
        <v>779</v>
      </c>
      <c r="H206" s="6" t="s">
        <v>780</v>
      </c>
      <c r="I206" s="5" t="s">
        <v>781</v>
      </c>
      <c r="J206" s="6" t="s">
        <v>17</v>
      </c>
    </row>
    <row r="207" spans="1:10" x14ac:dyDescent="0.2">
      <c r="A207" s="4">
        <v>206</v>
      </c>
      <c r="B207" s="5" t="str">
        <f>IFERROR(INDEX(五年級!$B:$B,MATCH(D207,五年級!$D:$D,0)),"")</f>
        <v>S521</v>
      </c>
      <c r="C207" s="4" t="s">
        <v>782</v>
      </c>
      <c r="D207" s="6" t="s">
        <v>783</v>
      </c>
      <c r="E207" s="6" t="s">
        <v>12</v>
      </c>
      <c r="F207" s="6" t="s">
        <v>60</v>
      </c>
      <c r="G207" s="6" t="s">
        <v>779</v>
      </c>
      <c r="H207" s="6" t="s">
        <v>780</v>
      </c>
      <c r="I207" s="5" t="s">
        <v>781</v>
      </c>
      <c r="J207" s="6" t="s">
        <v>17</v>
      </c>
    </row>
    <row r="208" spans="1:10" x14ac:dyDescent="0.2">
      <c r="A208" s="4">
        <v>207</v>
      </c>
      <c r="B208" s="5" t="str">
        <f>IFERROR(INDEX(二年級!$B:$B,MATCH(D208,二年級!$D:$D,0)),"")</f>
        <v>S213</v>
      </c>
      <c r="C208" s="4" t="s">
        <v>784</v>
      </c>
      <c r="D208" s="6" t="s">
        <v>785</v>
      </c>
      <c r="E208" s="6" t="s">
        <v>34</v>
      </c>
      <c r="F208" s="6" t="s">
        <v>55</v>
      </c>
      <c r="G208" s="6" t="s">
        <v>779</v>
      </c>
      <c r="H208" s="6" t="s">
        <v>780</v>
      </c>
      <c r="I208" s="5" t="s">
        <v>781</v>
      </c>
      <c r="J208" s="6" t="s">
        <v>17</v>
      </c>
    </row>
    <row r="209" spans="1:10" x14ac:dyDescent="0.2">
      <c r="A209" s="4">
        <v>208</v>
      </c>
      <c r="B209" s="5" t="str">
        <f>IFERROR(INDEX(四年級!$B:$B,MATCH(D209,四年級!$D:$D,0)),"")</f>
        <v>S418</v>
      </c>
      <c r="C209" s="4" t="s">
        <v>786</v>
      </c>
      <c r="D209" s="6" t="s">
        <v>787</v>
      </c>
      <c r="E209" s="6" t="s">
        <v>12</v>
      </c>
      <c r="F209" s="6" t="s">
        <v>13</v>
      </c>
      <c r="G209" s="6" t="s">
        <v>131</v>
      </c>
      <c r="H209" s="6" t="s">
        <v>788</v>
      </c>
      <c r="I209" s="5" t="s">
        <v>789</v>
      </c>
      <c r="J209" s="6" t="s">
        <v>17</v>
      </c>
    </row>
    <row r="210" spans="1:10" x14ac:dyDescent="0.2">
      <c r="A210" s="4">
        <v>209</v>
      </c>
      <c r="B210" s="5" t="str">
        <f>IFERROR(INDEX(學齡前!$B:$B,MATCH(D210,學齡前!$D:$D,0)),"")</f>
        <v>D003</v>
      </c>
      <c r="C210" s="4" t="s">
        <v>790</v>
      </c>
      <c r="D210" s="6" t="s">
        <v>791</v>
      </c>
      <c r="E210" s="6" t="s">
        <v>12</v>
      </c>
      <c r="F210" s="6" t="s">
        <v>28</v>
      </c>
      <c r="G210" s="6" t="s">
        <v>792</v>
      </c>
      <c r="H210" s="6" t="s">
        <v>788</v>
      </c>
      <c r="I210" s="5" t="s">
        <v>789</v>
      </c>
      <c r="J210" s="6" t="s">
        <v>17</v>
      </c>
    </row>
    <row r="211" spans="1:10" x14ac:dyDescent="0.2">
      <c r="A211" s="4">
        <v>210</v>
      </c>
      <c r="B211" s="5" t="str">
        <f>IFERROR(INDEX(三年級!$B:$B,MATCH(D211,三年級!$D:$D,0)),"")</f>
        <v>S316</v>
      </c>
      <c r="C211" s="4" t="s">
        <v>793</v>
      </c>
      <c r="D211" s="6" t="s">
        <v>794</v>
      </c>
      <c r="E211" s="6" t="s">
        <v>12</v>
      </c>
      <c r="F211" s="6" t="s">
        <v>46</v>
      </c>
      <c r="G211" s="6" t="s">
        <v>56</v>
      </c>
      <c r="H211" s="6" t="s">
        <v>795</v>
      </c>
      <c r="I211" s="5" t="s">
        <v>796</v>
      </c>
      <c r="J211" s="6" t="s">
        <v>17</v>
      </c>
    </row>
    <row r="212" spans="1:10" x14ac:dyDescent="0.2">
      <c r="A212" s="4">
        <v>211</v>
      </c>
      <c r="B212" s="5" t="str">
        <f>IFERROR(INDEX(三年級!$B:$B,MATCH(D212,三年級!$D:$D,0)),"")</f>
        <v>S316</v>
      </c>
      <c r="C212" s="4" t="s">
        <v>797</v>
      </c>
      <c r="D212" s="6" t="s">
        <v>798</v>
      </c>
      <c r="E212" s="6" t="s">
        <v>34</v>
      </c>
      <c r="F212" s="6" t="s">
        <v>46</v>
      </c>
      <c r="G212" s="6" t="s">
        <v>799</v>
      </c>
      <c r="H212" s="6" t="s">
        <v>800</v>
      </c>
      <c r="I212" s="5" t="s">
        <v>801</v>
      </c>
      <c r="J212" s="6" t="s">
        <v>17</v>
      </c>
    </row>
    <row r="213" spans="1:10" x14ac:dyDescent="0.2">
      <c r="A213" s="4">
        <v>212</v>
      </c>
      <c r="B213" s="5" t="str">
        <f>IFERROR(INDEX(學齡前!$B:$B,MATCH(D213,學齡前!$D:$D,0)),"")</f>
        <v>D003</v>
      </c>
      <c r="C213" s="4" t="s">
        <v>802</v>
      </c>
      <c r="D213" s="6" t="s">
        <v>803</v>
      </c>
      <c r="E213" s="6" t="s">
        <v>12</v>
      </c>
      <c r="F213" s="6" t="s">
        <v>28</v>
      </c>
      <c r="G213" s="6" t="s">
        <v>804</v>
      </c>
      <c r="H213" s="6" t="s">
        <v>805</v>
      </c>
      <c r="I213" s="5" t="s">
        <v>806</v>
      </c>
      <c r="J213" s="6" t="s">
        <v>17</v>
      </c>
    </row>
    <row r="214" spans="1:10" x14ac:dyDescent="0.2">
      <c r="A214" s="4">
        <v>213</v>
      </c>
      <c r="B214" s="5" t="str">
        <f>IFERROR(INDEX(一年級!$B:$B,MATCH(D214,一年級!$D:$D,0)),"")</f>
        <v>S109</v>
      </c>
      <c r="C214" s="4" t="s">
        <v>807</v>
      </c>
      <c r="D214" s="6" t="s">
        <v>808</v>
      </c>
      <c r="E214" s="6" t="s">
        <v>34</v>
      </c>
      <c r="F214" s="6" t="s">
        <v>19</v>
      </c>
      <c r="G214" s="6" t="s">
        <v>47</v>
      </c>
      <c r="H214" s="6" t="s">
        <v>809</v>
      </c>
      <c r="I214" s="5" t="s">
        <v>810</v>
      </c>
      <c r="J214" s="6" t="s">
        <v>17</v>
      </c>
    </row>
    <row r="215" spans="1:10" x14ac:dyDescent="0.2">
      <c r="A215" s="4">
        <v>214</v>
      </c>
      <c r="B215" s="5" t="str">
        <f>IFERROR(INDEX(六年級!$B:$B,MATCH(D215,六年級!$D:$D,0)),"")</f>
        <v>S623</v>
      </c>
      <c r="C215" s="4" t="s">
        <v>811</v>
      </c>
      <c r="D215" s="6" t="s">
        <v>812</v>
      </c>
      <c r="E215" s="6" t="s">
        <v>12</v>
      </c>
      <c r="F215" s="6" t="s">
        <v>66</v>
      </c>
      <c r="G215" s="6" t="s">
        <v>813</v>
      </c>
      <c r="H215" s="6" t="s">
        <v>814</v>
      </c>
      <c r="I215" s="5" t="s">
        <v>815</v>
      </c>
      <c r="J215" s="6" t="s">
        <v>17</v>
      </c>
    </row>
    <row r="216" spans="1:10" x14ac:dyDescent="0.2">
      <c r="A216" s="4">
        <v>215</v>
      </c>
      <c r="B216" s="5" t="str">
        <f>IFERROR(INDEX(學齡前!$B:$B,MATCH(D216,學齡前!$D:$D,0)),"")</f>
        <v>D003</v>
      </c>
      <c r="C216" s="4" t="s">
        <v>816</v>
      </c>
      <c r="D216" s="6" t="s">
        <v>817</v>
      </c>
      <c r="E216" s="6" t="s">
        <v>12</v>
      </c>
      <c r="F216" s="6" t="s">
        <v>28</v>
      </c>
      <c r="G216" s="6" t="s">
        <v>818</v>
      </c>
      <c r="H216" s="6" t="s">
        <v>819</v>
      </c>
      <c r="I216" s="5" t="s">
        <v>820</v>
      </c>
      <c r="J216" s="6" t="s">
        <v>17</v>
      </c>
    </row>
    <row r="217" spans="1:10" x14ac:dyDescent="0.2">
      <c r="A217" s="4">
        <v>216</v>
      </c>
      <c r="B217" s="5" t="str">
        <f>IFERROR(INDEX(學齡前!$B:$B,MATCH(D217,學齡前!$D:$D,0)),"")</f>
        <v>D006</v>
      </c>
      <c r="C217" s="4" t="s">
        <v>821</v>
      </c>
      <c r="D217" s="6" t="s">
        <v>822</v>
      </c>
      <c r="E217" s="6" t="s">
        <v>34</v>
      </c>
      <c r="F217" s="6" t="s">
        <v>35</v>
      </c>
      <c r="G217" s="6" t="s">
        <v>823</v>
      </c>
      <c r="H217" s="6" t="s">
        <v>824</v>
      </c>
      <c r="I217" s="5" t="s">
        <v>825</v>
      </c>
      <c r="J217" s="6" t="s">
        <v>17</v>
      </c>
    </row>
    <row r="218" spans="1:10" x14ac:dyDescent="0.2">
      <c r="A218" s="4">
        <v>217</v>
      </c>
      <c r="B218" s="5" t="str">
        <f>IFERROR(INDEX(學齡前!$B:$B,MATCH(D218,學齡前!$D:$D,0)),"")</f>
        <v>D003</v>
      </c>
      <c r="C218" s="4" t="s">
        <v>826</v>
      </c>
      <c r="D218" s="6" t="s">
        <v>827</v>
      </c>
      <c r="E218" s="6" t="s">
        <v>34</v>
      </c>
      <c r="F218" s="6" t="s">
        <v>28</v>
      </c>
      <c r="G218" s="6" t="s">
        <v>823</v>
      </c>
      <c r="H218" s="6" t="s">
        <v>824</v>
      </c>
      <c r="I218" s="5" t="s">
        <v>825</v>
      </c>
      <c r="J218" s="6" t="s">
        <v>17</v>
      </c>
    </row>
    <row r="219" spans="1:10" x14ac:dyDescent="0.2">
      <c r="A219" s="4">
        <v>218</v>
      </c>
      <c r="B219" s="5" t="str">
        <f>IFERROR(INDEX(一年級!$B:$B,MATCH(D219,一年級!$D:$D,0)),"")</f>
        <v>S109</v>
      </c>
      <c r="C219" s="4" t="s">
        <v>828</v>
      </c>
      <c r="D219" s="6" t="s">
        <v>829</v>
      </c>
      <c r="E219" s="6" t="s">
        <v>34</v>
      </c>
      <c r="F219" s="6" t="s">
        <v>19</v>
      </c>
      <c r="G219" s="6" t="s">
        <v>98</v>
      </c>
      <c r="H219" s="6" t="s">
        <v>830</v>
      </c>
      <c r="I219" s="5" t="s">
        <v>831</v>
      </c>
      <c r="J219" s="6" t="s">
        <v>17</v>
      </c>
    </row>
    <row r="220" spans="1:10" x14ac:dyDescent="0.2">
      <c r="A220" s="4">
        <v>219</v>
      </c>
      <c r="B220" s="5" t="str">
        <f>IFERROR(INDEX(五年級!$B:$B,MATCH(D220,五年級!$D:$D,0)),"")</f>
        <v>S521</v>
      </c>
      <c r="C220" s="4" t="s">
        <v>832</v>
      </c>
      <c r="D220" s="6" t="s">
        <v>833</v>
      </c>
      <c r="E220" s="6" t="s">
        <v>34</v>
      </c>
      <c r="F220" s="6" t="s">
        <v>60</v>
      </c>
      <c r="G220" s="6" t="s">
        <v>763</v>
      </c>
      <c r="H220" s="6" t="s">
        <v>834</v>
      </c>
      <c r="I220" s="5" t="s">
        <v>835</v>
      </c>
      <c r="J220" s="6" t="s">
        <v>17</v>
      </c>
    </row>
    <row r="221" spans="1:10" x14ac:dyDescent="0.2">
      <c r="A221" s="4">
        <v>220</v>
      </c>
      <c r="B221" s="5" t="str">
        <f>IFERROR(INDEX(二年級!$B:$B,MATCH(D221,二年級!$D:$D,0)),"")</f>
        <v>S213</v>
      </c>
      <c r="C221" s="4" t="s">
        <v>836</v>
      </c>
      <c r="D221" s="6" t="s">
        <v>837</v>
      </c>
      <c r="E221" s="6" t="s">
        <v>12</v>
      </c>
      <c r="F221" s="6" t="s">
        <v>55</v>
      </c>
      <c r="G221" s="6" t="s">
        <v>173</v>
      </c>
      <c r="H221" s="6" t="s">
        <v>834</v>
      </c>
      <c r="I221" s="5" t="s">
        <v>835</v>
      </c>
      <c r="J221" s="6" t="s">
        <v>17</v>
      </c>
    </row>
    <row r="222" spans="1:10" x14ac:dyDescent="0.2">
      <c r="A222" s="4">
        <v>221</v>
      </c>
      <c r="B222" s="5" t="str">
        <f>IFERROR(INDEX(三年級!$B:$B,MATCH(D222,三年級!$D:$D,0)),"")</f>
        <v>S316</v>
      </c>
      <c r="C222" s="4" t="s">
        <v>838</v>
      </c>
      <c r="D222" s="6" t="s">
        <v>839</v>
      </c>
      <c r="E222" s="6" t="s">
        <v>34</v>
      </c>
      <c r="F222" s="6" t="s">
        <v>46</v>
      </c>
      <c r="G222" s="6" t="s">
        <v>840</v>
      </c>
      <c r="H222" s="6" t="s">
        <v>17</v>
      </c>
      <c r="I222" s="5" t="s">
        <v>841</v>
      </c>
      <c r="J222" s="6" t="s">
        <v>17</v>
      </c>
    </row>
    <row r="223" spans="1:10" x14ac:dyDescent="0.2">
      <c r="A223" s="4">
        <v>222</v>
      </c>
      <c r="B223" s="5" t="str">
        <f>IFERROR(INDEX(四年級!$B:$B,MATCH(D223,四年級!$D:$D,0)),"")</f>
        <v>S418</v>
      </c>
      <c r="C223" s="4" t="s">
        <v>842</v>
      </c>
      <c r="D223" s="6" t="s">
        <v>843</v>
      </c>
      <c r="E223" s="6" t="s">
        <v>12</v>
      </c>
      <c r="F223" s="6" t="s">
        <v>13</v>
      </c>
      <c r="G223" s="6" t="s">
        <v>844</v>
      </c>
      <c r="H223" s="6" t="s">
        <v>845</v>
      </c>
      <c r="I223" s="5" t="s">
        <v>846</v>
      </c>
      <c r="J223" s="6" t="s">
        <v>17</v>
      </c>
    </row>
    <row r="224" spans="1:10" x14ac:dyDescent="0.2">
      <c r="A224" s="4">
        <v>223</v>
      </c>
      <c r="B224" s="5" t="str">
        <f>IFERROR(INDEX(二年級!$B:$B,MATCH(D224,二年級!$D:$D,0)),"")</f>
        <v>S213</v>
      </c>
      <c r="C224" s="4" t="s">
        <v>847</v>
      </c>
      <c r="D224" s="6" t="s">
        <v>848</v>
      </c>
      <c r="E224" s="6" t="s">
        <v>34</v>
      </c>
      <c r="F224" s="6" t="s">
        <v>55</v>
      </c>
      <c r="G224" s="6" t="s">
        <v>844</v>
      </c>
      <c r="H224" s="6" t="s">
        <v>845</v>
      </c>
      <c r="I224" s="5" t="s">
        <v>846</v>
      </c>
      <c r="J224" s="6" t="s">
        <v>17</v>
      </c>
    </row>
    <row r="225" spans="1:10" x14ac:dyDescent="0.2">
      <c r="A225" s="4">
        <v>224</v>
      </c>
      <c r="B225" s="5" t="str">
        <f>IFERROR(INDEX(四年級!$B:$B,MATCH(D225,四年級!$D:$D,0)),"")</f>
        <v>S418</v>
      </c>
      <c r="C225" s="4" t="s">
        <v>849</v>
      </c>
      <c r="D225" s="6" t="s">
        <v>850</v>
      </c>
      <c r="E225" s="6" t="s">
        <v>34</v>
      </c>
      <c r="F225" s="6" t="s">
        <v>13</v>
      </c>
      <c r="G225" s="6" t="s">
        <v>20</v>
      </c>
      <c r="H225" s="6" t="s">
        <v>851</v>
      </c>
      <c r="I225" s="5" t="s">
        <v>852</v>
      </c>
      <c r="J225" s="6" t="s">
        <v>17</v>
      </c>
    </row>
    <row r="226" spans="1:10" x14ac:dyDescent="0.2">
      <c r="A226" s="4">
        <v>225</v>
      </c>
      <c r="B226" s="5" t="str">
        <f>IFERROR(INDEX(二年級!$B:$B,MATCH(D226,二年級!$D:$D,0)),"")</f>
        <v>S213</v>
      </c>
      <c r="C226" s="4" t="s">
        <v>853</v>
      </c>
      <c r="D226" s="6" t="s">
        <v>854</v>
      </c>
      <c r="E226" s="6" t="s">
        <v>34</v>
      </c>
      <c r="F226" s="6" t="s">
        <v>55</v>
      </c>
      <c r="G226" s="6" t="s">
        <v>20</v>
      </c>
      <c r="H226" s="6" t="s">
        <v>851</v>
      </c>
      <c r="I226" s="5" t="s">
        <v>852</v>
      </c>
      <c r="J226" s="6" t="s">
        <v>17</v>
      </c>
    </row>
    <row r="227" spans="1:10" x14ac:dyDescent="0.2">
      <c r="A227" s="4">
        <v>226</v>
      </c>
      <c r="B227" s="5" t="str">
        <f>IFERROR(INDEX(三年級!$B:$B,MATCH(D227,三年級!$D:$D,0)),"")</f>
        <v>S316</v>
      </c>
      <c r="C227" s="4" t="s">
        <v>855</v>
      </c>
      <c r="D227" s="6" t="s">
        <v>856</v>
      </c>
      <c r="E227" s="6" t="s">
        <v>12</v>
      </c>
      <c r="F227" s="6" t="s">
        <v>46</v>
      </c>
      <c r="G227" s="6" t="s">
        <v>56</v>
      </c>
      <c r="H227" s="6" t="s">
        <v>857</v>
      </c>
      <c r="I227" s="5" t="s">
        <v>796</v>
      </c>
      <c r="J227" s="6" t="s">
        <v>17</v>
      </c>
    </row>
    <row r="228" spans="1:10" x14ac:dyDescent="0.2">
      <c r="A228" s="4">
        <v>227</v>
      </c>
      <c r="B228" s="5" t="str">
        <f>IFERROR(INDEX(四年級!$B:$B,MATCH(D228,四年級!$D:$D,0)),"")</f>
        <v>S418</v>
      </c>
      <c r="C228" s="4" t="s">
        <v>858</v>
      </c>
      <c r="D228" s="6" t="s">
        <v>859</v>
      </c>
      <c r="E228" s="6" t="s">
        <v>12</v>
      </c>
      <c r="F228" s="6" t="s">
        <v>13</v>
      </c>
      <c r="G228" s="6" t="s">
        <v>24</v>
      </c>
      <c r="H228" s="6" t="s">
        <v>860</v>
      </c>
      <c r="I228" s="5" t="s">
        <v>801</v>
      </c>
      <c r="J228" s="6" t="s">
        <v>17</v>
      </c>
    </row>
    <row r="229" spans="1:10" x14ac:dyDescent="0.2">
      <c r="A229" s="4">
        <v>228</v>
      </c>
      <c r="B229" s="5" t="str">
        <f>IFERROR(INDEX(四年級!$B:$B,MATCH(D229,四年級!$D:$D,0)),"")</f>
        <v>S419</v>
      </c>
      <c r="C229" s="4" t="s">
        <v>861</v>
      </c>
      <c r="D229" s="6" t="s">
        <v>862</v>
      </c>
      <c r="E229" s="6" t="s">
        <v>12</v>
      </c>
      <c r="F229" s="6" t="s">
        <v>13</v>
      </c>
      <c r="G229" s="6" t="s">
        <v>863</v>
      </c>
      <c r="H229" s="6" t="s">
        <v>864</v>
      </c>
      <c r="I229" s="5" t="s">
        <v>865</v>
      </c>
      <c r="J229" s="6" t="s">
        <v>17</v>
      </c>
    </row>
    <row r="230" spans="1:10" x14ac:dyDescent="0.2">
      <c r="A230" s="4">
        <v>229</v>
      </c>
      <c r="B230" s="5" t="str">
        <f>IFERROR(INDEX(四年級!$B:$B,MATCH(D230,四年級!$D:$D,0)),"")</f>
        <v>S419</v>
      </c>
      <c r="C230" s="4" t="s">
        <v>866</v>
      </c>
      <c r="D230" s="6" t="s">
        <v>867</v>
      </c>
      <c r="E230" s="6" t="s">
        <v>12</v>
      </c>
      <c r="F230" s="6" t="s">
        <v>13</v>
      </c>
      <c r="G230" s="6" t="s">
        <v>20</v>
      </c>
      <c r="H230" s="6" t="s">
        <v>868</v>
      </c>
      <c r="I230" s="5" t="s">
        <v>869</v>
      </c>
      <c r="J230" s="6" t="s">
        <v>17</v>
      </c>
    </row>
    <row r="231" spans="1:10" x14ac:dyDescent="0.2">
      <c r="A231" s="4">
        <v>230</v>
      </c>
      <c r="B231" s="5" t="str">
        <f>IFERROR(INDEX(二年級!$B:$B,MATCH(D231,二年級!$D:$D,0)),"")</f>
        <v>S213</v>
      </c>
      <c r="C231" s="4" t="s">
        <v>870</v>
      </c>
      <c r="D231" s="6" t="s">
        <v>871</v>
      </c>
      <c r="E231" s="6" t="s">
        <v>34</v>
      </c>
      <c r="F231" s="6" t="s">
        <v>55</v>
      </c>
      <c r="G231" s="6" t="s">
        <v>20</v>
      </c>
      <c r="H231" s="6" t="s">
        <v>868</v>
      </c>
      <c r="I231" s="5" t="s">
        <v>872</v>
      </c>
      <c r="J231" s="6" t="s">
        <v>17</v>
      </c>
    </row>
    <row r="232" spans="1:10" x14ac:dyDescent="0.2">
      <c r="A232" s="4">
        <v>231</v>
      </c>
      <c r="B232" s="5" t="str">
        <f>IFERROR(INDEX(學齡前!$B:$B,MATCH(D232,學齡前!$D:$D,0)),"")</f>
        <v>D006</v>
      </c>
      <c r="C232" s="4" t="s">
        <v>873</v>
      </c>
      <c r="D232" s="6" t="s">
        <v>874</v>
      </c>
      <c r="E232" s="6" t="s">
        <v>34</v>
      </c>
      <c r="F232" s="6" t="s">
        <v>35</v>
      </c>
      <c r="G232" s="6" t="s">
        <v>875</v>
      </c>
      <c r="H232" s="6" t="s">
        <v>876</v>
      </c>
      <c r="I232" s="5" t="s">
        <v>877</v>
      </c>
      <c r="J232" s="6" t="s">
        <v>17</v>
      </c>
    </row>
    <row r="233" spans="1:10" x14ac:dyDescent="0.2">
      <c r="A233" s="4">
        <v>232</v>
      </c>
      <c r="B233" s="5" t="str">
        <f>IFERROR(INDEX(學齡前!$B:$B,MATCH(D233,學齡前!$D:$D,0)),"")</f>
        <v>D003</v>
      </c>
      <c r="C233" s="4" t="s">
        <v>878</v>
      </c>
      <c r="D233" s="6" t="s">
        <v>879</v>
      </c>
      <c r="E233" s="6" t="s">
        <v>12</v>
      </c>
      <c r="F233" s="6" t="s">
        <v>28</v>
      </c>
      <c r="G233" s="6" t="s">
        <v>880</v>
      </c>
      <c r="H233" s="6" t="s">
        <v>881</v>
      </c>
      <c r="I233" s="5" t="s">
        <v>882</v>
      </c>
      <c r="J233" s="6" t="s">
        <v>17</v>
      </c>
    </row>
    <row r="234" spans="1:10" x14ac:dyDescent="0.2">
      <c r="A234" s="4">
        <v>233</v>
      </c>
      <c r="B234" s="5" t="str">
        <f>IFERROR(INDEX(一年級!$B:$B,MATCH(D234,一年級!$D:$D,0)),"")</f>
        <v>S109</v>
      </c>
      <c r="C234" s="4" t="s">
        <v>883</v>
      </c>
      <c r="D234" s="6" t="s">
        <v>884</v>
      </c>
      <c r="E234" s="6" t="s">
        <v>34</v>
      </c>
      <c r="F234" s="6" t="s">
        <v>19</v>
      </c>
      <c r="G234" s="6" t="s">
        <v>885</v>
      </c>
      <c r="H234" s="6" t="s">
        <v>886</v>
      </c>
      <c r="I234" s="5" t="s">
        <v>887</v>
      </c>
      <c r="J234" s="6" t="s">
        <v>17</v>
      </c>
    </row>
    <row r="235" spans="1:10" x14ac:dyDescent="0.2">
      <c r="A235" s="4">
        <v>234</v>
      </c>
      <c r="B235" s="5" t="str">
        <f>IFERROR(INDEX(四年級!$B:$B,MATCH(D235,四年級!$D:$D,0)),"")</f>
        <v>S419</v>
      </c>
      <c r="C235" s="4" t="s">
        <v>888</v>
      </c>
      <c r="D235" s="6" t="s">
        <v>889</v>
      </c>
      <c r="E235" s="6" t="s">
        <v>34</v>
      </c>
      <c r="F235" s="6" t="s">
        <v>13</v>
      </c>
      <c r="G235" s="6" t="s">
        <v>885</v>
      </c>
      <c r="H235" s="6" t="s">
        <v>886</v>
      </c>
      <c r="I235" s="5" t="s">
        <v>887</v>
      </c>
      <c r="J235" s="6" t="s">
        <v>17</v>
      </c>
    </row>
    <row r="236" spans="1:10" x14ac:dyDescent="0.2">
      <c r="A236" s="4">
        <v>235</v>
      </c>
      <c r="B236" s="5" t="str">
        <f>IFERROR(INDEX(六年級!$B:$B,MATCH(D236,六年級!$D:$D,0)),"")</f>
        <v>S623</v>
      </c>
      <c r="C236" s="4" t="s">
        <v>890</v>
      </c>
      <c r="D236" s="6" t="s">
        <v>891</v>
      </c>
      <c r="E236" s="6" t="s">
        <v>34</v>
      </c>
      <c r="F236" s="6" t="s">
        <v>66</v>
      </c>
      <c r="G236" s="6" t="s">
        <v>212</v>
      </c>
      <c r="H236" s="6" t="s">
        <v>892</v>
      </c>
      <c r="I236" s="5" t="s">
        <v>893</v>
      </c>
      <c r="J236" s="6" t="s">
        <v>17</v>
      </c>
    </row>
    <row r="237" spans="1:10" x14ac:dyDescent="0.2">
      <c r="A237" s="4">
        <v>236</v>
      </c>
      <c r="B237" s="5" t="str">
        <f>IFERROR(INDEX(四年級!$B:$B,MATCH(D237,四年級!$D:$D,0)),"")</f>
        <v>S419</v>
      </c>
      <c r="C237" s="4" t="s">
        <v>894</v>
      </c>
      <c r="D237" s="6" t="s">
        <v>895</v>
      </c>
      <c r="E237" s="6" t="s">
        <v>34</v>
      </c>
      <c r="F237" s="6" t="s">
        <v>13</v>
      </c>
      <c r="G237" s="6" t="s">
        <v>212</v>
      </c>
      <c r="H237" s="6" t="s">
        <v>892</v>
      </c>
      <c r="I237" s="5" t="s">
        <v>893</v>
      </c>
      <c r="J237" s="6" t="s">
        <v>17</v>
      </c>
    </row>
    <row r="238" spans="1:10" x14ac:dyDescent="0.2">
      <c r="A238" s="4">
        <v>237</v>
      </c>
      <c r="B238" s="5" t="str">
        <f>IFERROR(INDEX(四年級!$B:$B,MATCH(D238,四年級!$D:$D,0)),"")</f>
        <v>S419</v>
      </c>
      <c r="C238" s="4" t="s">
        <v>896</v>
      </c>
      <c r="D238" s="6" t="s">
        <v>897</v>
      </c>
      <c r="E238" s="6" t="s">
        <v>34</v>
      </c>
      <c r="F238" s="6" t="s">
        <v>13</v>
      </c>
      <c r="G238" s="6" t="s">
        <v>898</v>
      </c>
      <c r="H238" s="6" t="s">
        <v>899</v>
      </c>
      <c r="I238" s="5" t="s">
        <v>900</v>
      </c>
      <c r="J238" s="6" t="s">
        <v>17</v>
      </c>
    </row>
    <row r="239" spans="1:10" x14ac:dyDescent="0.2">
      <c r="A239" s="4">
        <v>238</v>
      </c>
      <c r="B239" s="5" t="str">
        <f>IFERROR(INDEX(二年級!$B:$B,MATCH(D239,二年級!$D:$D,0)),"")</f>
        <v>S213</v>
      </c>
      <c r="C239" s="4" t="s">
        <v>901</v>
      </c>
      <c r="D239" s="6" t="s">
        <v>902</v>
      </c>
      <c r="E239" s="6" t="s">
        <v>12</v>
      </c>
      <c r="F239" s="6" t="s">
        <v>55</v>
      </c>
      <c r="G239" s="6" t="s">
        <v>898</v>
      </c>
      <c r="H239" s="6" t="s">
        <v>899</v>
      </c>
      <c r="I239" s="5" t="s">
        <v>900</v>
      </c>
      <c r="J239" s="6" t="s">
        <v>17</v>
      </c>
    </row>
    <row r="240" spans="1:10" x14ac:dyDescent="0.2">
      <c r="A240" s="4">
        <v>239</v>
      </c>
      <c r="B240" s="5" t="str">
        <f>IFERROR(INDEX(學齡前!$B:$B,MATCH(D240,學齡前!$D:$D,0)),"")</f>
        <v>D003</v>
      </c>
      <c r="C240" s="4" t="s">
        <v>903</v>
      </c>
      <c r="D240" s="6" t="s">
        <v>904</v>
      </c>
      <c r="E240" s="6" t="s">
        <v>12</v>
      </c>
      <c r="F240" s="6" t="s">
        <v>28</v>
      </c>
      <c r="G240" s="6" t="s">
        <v>905</v>
      </c>
      <c r="H240" s="6" t="s">
        <v>899</v>
      </c>
      <c r="I240" s="5" t="s">
        <v>900</v>
      </c>
      <c r="J240" s="6" t="s">
        <v>17</v>
      </c>
    </row>
    <row r="241" spans="1:10" x14ac:dyDescent="0.2">
      <c r="A241" s="4">
        <v>240</v>
      </c>
      <c r="B241" s="5" t="str">
        <f>IFERROR(INDEX(學齡前!$B:$B,MATCH(D241,學齡前!$D:$D,0)),"")</f>
        <v>D006</v>
      </c>
      <c r="C241" s="4" t="s">
        <v>906</v>
      </c>
      <c r="D241" s="6" t="s">
        <v>907</v>
      </c>
      <c r="E241" s="6" t="s">
        <v>34</v>
      </c>
      <c r="F241" s="6" t="s">
        <v>35</v>
      </c>
      <c r="G241" s="6" t="s">
        <v>908</v>
      </c>
      <c r="H241" s="6" t="s">
        <v>909</v>
      </c>
      <c r="I241" s="5" t="s">
        <v>910</v>
      </c>
      <c r="J241" s="6" t="s">
        <v>17</v>
      </c>
    </row>
    <row r="242" spans="1:10" x14ac:dyDescent="0.2">
      <c r="A242" s="4">
        <v>241</v>
      </c>
      <c r="B242" s="5" t="str">
        <f>IFERROR(INDEX(學齡前!$B:$B,MATCH(D242,學齡前!$D:$D,0)),"")</f>
        <v>D006</v>
      </c>
      <c r="C242" s="4" t="s">
        <v>911</v>
      </c>
      <c r="D242" s="6" t="s">
        <v>912</v>
      </c>
      <c r="E242" s="6" t="s">
        <v>34</v>
      </c>
      <c r="F242" s="6" t="s">
        <v>35</v>
      </c>
      <c r="G242" s="6" t="s">
        <v>913</v>
      </c>
      <c r="H242" s="6" t="s">
        <v>914</v>
      </c>
      <c r="I242" s="5" t="s">
        <v>915</v>
      </c>
      <c r="J242" s="6" t="s">
        <v>17</v>
      </c>
    </row>
    <row r="243" spans="1:10" x14ac:dyDescent="0.2">
      <c r="A243" s="4">
        <v>242</v>
      </c>
      <c r="B243" s="5" t="str">
        <f>IFERROR(INDEX(學齡前!$B:$B,MATCH(D243,學齡前!$D:$D,0)),"")</f>
        <v>D001</v>
      </c>
      <c r="C243" s="4" t="s">
        <v>916</v>
      </c>
      <c r="D243" s="6" t="s">
        <v>917</v>
      </c>
      <c r="E243" s="6" t="s">
        <v>12</v>
      </c>
      <c r="F243" s="6" t="s">
        <v>418</v>
      </c>
      <c r="G243" s="6" t="s">
        <v>419</v>
      </c>
      <c r="H243" s="6" t="s">
        <v>918</v>
      </c>
      <c r="I243" s="5" t="s">
        <v>919</v>
      </c>
      <c r="J243" s="6" t="s">
        <v>17</v>
      </c>
    </row>
    <row r="244" spans="1:10" x14ac:dyDescent="0.2">
      <c r="A244" s="4">
        <v>243</v>
      </c>
      <c r="B244" s="5" t="str">
        <f>IFERROR(INDEX(學齡前!$B:$B,MATCH(D244,學齡前!$D:$D,0)),"")</f>
        <v>D003</v>
      </c>
      <c r="C244" s="4" t="s">
        <v>920</v>
      </c>
      <c r="D244" s="6" t="s">
        <v>921</v>
      </c>
      <c r="E244" s="6" t="s">
        <v>12</v>
      </c>
      <c r="F244" s="6" t="s">
        <v>28</v>
      </c>
      <c r="G244" s="6" t="s">
        <v>922</v>
      </c>
      <c r="H244" s="6" t="s">
        <v>923</v>
      </c>
      <c r="I244" s="5" t="s">
        <v>924</v>
      </c>
      <c r="J244" s="6" t="s">
        <v>17</v>
      </c>
    </row>
    <row r="245" spans="1:10" x14ac:dyDescent="0.2">
      <c r="A245" s="4">
        <v>244</v>
      </c>
      <c r="B245" s="5" t="str">
        <f>IFERROR(INDEX(學齡前!$B:$B,MATCH(D245,學齡前!$D:$D,0)),"")</f>
        <v>D001</v>
      </c>
      <c r="C245" s="4" t="s">
        <v>925</v>
      </c>
      <c r="D245" s="6" t="s">
        <v>926</v>
      </c>
      <c r="E245" s="6" t="s">
        <v>12</v>
      </c>
      <c r="F245" s="6" t="s">
        <v>418</v>
      </c>
      <c r="G245" s="6" t="s">
        <v>419</v>
      </c>
      <c r="H245" s="6" t="s">
        <v>918</v>
      </c>
      <c r="I245" s="5" t="s">
        <v>919</v>
      </c>
      <c r="J245" s="6" t="s">
        <v>17</v>
      </c>
    </row>
    <row r="246" spans="1:10" x14ac:dyDescent="0.2">
      <c r="A246" s="4">
        <v>245</v>
      </c>
      <c r="B246" s="5" t="str">
        <f>IFERROR(INDEX(一年級!$B:$B,MATCH(D246,一年級!$D:$D,0)),"")</f>
        <v>S109</v>
      </c>
      <c r="C246" s="4" t="s">
        <v>927</v>
      </c>
      <c r="D246" s="6" t="s">
        <v>928</v>
      </c>
      <c r="E246" s="6" t="s">
        <v>34</v>
      </c>
      <c r="F246" s="6" t="s">
        <v>19</v>
      </c>
      <c r="G246" s="6" t="s">
        <v>929</v>
      </c>
      <c r="H246" s="6" t="s">
        <v>923</v>
      </c>
      <c r="I246" s="5" t="s">
        <v>924</v>
      </c>
      <c r="J246" s="6" t="s">
        <v>17</v>
      </c>
    </row>
    <row r="247" spans="1:10" x14ac:dyDescent="0.2">
      <c r="A247" s="4">
        <v>246</v>
      </c>
      <c r="B247" s="5" t="str">
        <f>IFERROR(INDEX(三年級!$B:$B,MATCH(D247,三年級!$D:$D,0)),"")</f>
        <v>S316</v>
      </c>
      <c r="C247" s="4" t="s">
        <v>930</v>
      </c>
      <c r="D247" s="6" t="s">
        <v>931</v>
      </c>
      <c r="E247" s="6" t="s">
        <v>34</v>
      </c>
      <c r="F247" s="6" t="s">
        <v>46</v>
      </c>
      <c r="G247" s="6" t="s">
        <v>147</v>
      </c>
      <c r="H247" s="6" t="s">
        <v>932</v>
      </c>
      <c r="I247" s="5" t="s">
        <v>933</v>
      </c>
      <c r="J247" s="6" t="s">
        <v>17</v>
      </c>
    </row>
    <row r="248" spans="1:10" x14ac:dyDescent="0.2">
      <c r="A248" s="4">
        <v>247</v>
      </c>
      <c r="B248" s="5" t="str">
        <f>IFERROR(INDEX(六年級!$B:$B,MATCH(D248,六年級!$D:$D,0)),"")</f>
        <v>S623</v>
      </c>
      <c r="C248" s="4" t="s">
        <v>934</v>
      </c>
      <c r="D248" s="6" t="s">
        <v>935</v>
      </c>
      <c r="E248" s="6" t="s">
        <v>12</v>
      </c>
      <c r="F248" s="6" t="s">
        <v>66</v>
      </c>
      <c r="G248" s="6" t="s">
        <v>98</v>
      </c>
      <c r="H248" s="6" t="s">
        <v>936</v>
      </c>
      <c r="I248" s="5" t="s">
        <v>937</v>
      </c>
      <c r="J248" s="6" t="s">
        <v>17</v>
      </c>
    </row>
    <row r="249" spans="1:10" x14ac:dyDescent="0.2">
      <c r="A249" s="4">
        <v>248</v>
      </c>
      <c r="B249" s="5" t="str">
        <f>IFERROR(INDEX(二年級!$B:$B,MATCH(D249,二年級!$D:$D,0)),"")</f>
        <v>S213</v>
      </c>
      <c r="C249" s="4" t="s">
        <v>938</v>
      </c>
      <c r="D249" s="6" t="s">
        <v>939</v>
      </c>
      <c r="E249" s="6" t="s">
        <v>34</v>
      </c>
      <c r="F249" s="6" t="s">
        <v>55</v>
      </c>
      <c r="G249" s="6" t="s">
        <v>24</v>
      </c>
      <c r="H249" s="6" t="s">
        <v>940</v>
      </c>
      <c r="I249" s="5" t="s">
        <v>941</v>
      </c>
      <c r="J249" s="6" t="s">
        <v>17</v>
      </c>
    </row>
    <row r="250" spans="1:10" x14ac:dyDescent="0.2">
      <c r="A250" s="4">
        <v>249</v>
      </c>
      <c r="B250" s="5" t="str">
        <f>IFERROR(INDEX(一年級!$B:$B,MATCH(D250,一年級!$D:$D,0)),"")</f>
        <v>S109</v>
      </c>
      <c r="C250" s="4" t="s">
        <v>942</v>
      </c>
      <c r="D250" s="6" t="s">
        <v>943</v>
      </c>
      <c r="E250" s="6" t="s">
        <v>34</v>
      </c>
      <c r="F250" s="6" t="s">
        <v>19</v>
      </c>
      <c r="G250" s="6" t="s">
        <v>88</v>
      </c>
      <c r="H250" s="6" t="s">
        <v>944</v>
      </c>
      <c r="I250" s="5" t="s">
        <v>945</v>
      </c>
      <c r="J250" s="6" t="s">
        <v>17</v>
      </c>
    </row>
    <row r="251" spans="1:10" x14ac:dyDescent="0.2">
      <c r="A251" s="4">
        <v>250</v>
      </c>
      <c r="B251" s="5" t="str">
        <f>IFERROR(INDEX(學齡前!$B:$B,MATCH(D251,學齡前!$D:$D,0)),"")</f>
        <v>D006</v>
      </c>
      <c r="C251" s="4" t="s">
        <v>946</v>
      </c>
      <c r="D251" s="6" t="s">
        <v>947</v>
      </c>
      <c r="E251" s="6" t="s">
        <v>34</v>
      </c>
      <c r="F251" s="6" t="s">
        <v>35</v>
      </c>
      <c r="G251" s="6" t="s">
        <v>106</v>
      </c>
      <c r="H251" s="6" t="s">
        <v>948</v>
      </c>
      <c r="I251" s="5" t="s">
        <v>949</v>
      </c>
      <c r="J251" s="6" t="s">
        <v>17</v>
      </c>
    </row>
    <row r="252" spans="1:10" x14ac:dyDescent="0.2">
      <c r="A252" s="4">
        <v>251</v>
      </c>
      <c r="B252" s="5" t="str">
        <f>IFERROR(INDEX(六年級!$B:$B,MATCH(D252,六年級!$D:$D,0)),"")</f>
        <v>S623</v>
      </c>
      <c r="C252" s="4" t="s">
        <v>950</v>
      </c>
      <c r="D252" s="6" t="s">
        <v>951</v>
      </c>
      <c r="E252" s="6" t="s">
        <v>34</v>
      </c>
      <c r="F252" s="6" t="s">
        <v>66</v>
      </c>
      <c r="G252" s="6" t="s">
        <v>98</v>
      </c>
      <c r="H252" s="6" t="s">
        <v>952</v>
      </c>
      <c r="I252" s="5" t="s">
        <v>953</v>
      </c>
      <c r="J252" s="6" t="s">
        <v>17</v>
      </c>
    </row>
    <row r="253" spans="1:10" x14ac:dyDescent="0.2">
      <c r="A253" s="4">
        <v>252</v>
      </c>
      <c r="B253" s="5" t="str">
        <f>IFERROR(INDEX(五年級!$B:$B,MATCH(D253,五年級!$D:$D,0)),"")</f>
        <v>S521</v>
      </c>
      <c r="C253" s="4" t="s">
        <v>954</v>
      </c>
      <c r="D253" s="6" t="s">
        <v>955</v>
      </c>
      <c r="E253" s="6" t="s">
        <v>12</v>
      </c>
      <c r="F253" s="6" t="s">
        <v>60</v>
      </c>
      <c r="G253" s="6" t="s">
        <v>20</v>
      </c>
      <c r="H253" s="6" t="s">
        <v>956</v>
      </c>
      <c r="I253" s="5" t="s">
        <v>957</v>
      </c>
      <c r="J253" s="6" t="s">
        <v>17</v>
      </c>
    </row>
    <row r="254" spans="1:10" x14ac:dyDescent="0.2">
      <c r="A254" s="4">
        <v>253</v>
      </c>
      <c r="B254" s="5" t="str">
        <f>IFERROR(INDEX(二年級!$B:$B,MATCH(D254,二年級!$D:$D,0)),"")</f>
        <v>S213</v>
      </c>
      <c r="C254" s="4" t="s">
        <v>958</v>
      </c>
      <c r="D254" s="6" t="s">
        <v>959</v>
      </c>
      <c r="E254" s="6" t="s">
        <v>34</v>
      </c>
      <c r="F254" s="6" t="s">
        <v>55</v>
      </c>
      <c r="G254" s="6" t="s">
        <v>20</v>
      </c>
      <c r="H254" s="6" t="s">
        <v>956</v>
      </c>
      <c r="I254" s="5" t="s">
        <v>957</v>
      </c>
      <c r="J254" s="6" t="s">
        <v>17</v>
      </c>
    </row>
    <row r="255" spans="1:10" x14ac:dyDescent="0.2">
      <c r="A255" s="4">
        <v>254</v>
      </c>
      <c r="B255" s="5" t="str">
        <f>IFERROR(INDEX(四年級!$B:$B,MATCH(D255,四年級!$D:$D,0)),"")</f>
        <v>S419</v>
      </c>
      <c r="C255" s="4" t="s">
        <v>960</v>
      </c>
      <c r="D255" s="6" t="s">
        <v>961</v>
      </c>
      <c r="E255" s="6" t="s">
        <v>34</v>
      </c>
      <c r="F255" s="6" t="s">
        <v>13</v>
      </c>
      <c r="G255" s="6" t="s">
        <v>98</v>
      </c>
      <c r="H255" s="6" t="s">
        <v>962</v>
      </c>
      <c r="I255" s="5" t="s">
        <v>963</v>
      </c>
      <c r="J255" s="6" t="s">
        <v>17</v>
      </c>
    </row>
    <row r="256" spans="1:10" x14ac:dyDescent="0.2">
      <c r="A256" s="4">
        <v>255</v>
      </c>
      <c r="B256" s="5" t="str">
        <f>IFERROR(INDEX(五年級!$B:$B,MATCH(D256,五年級!$D:$D,0)),"")</f>
        <v>S521</v>
      </c>
      <c r="C256" s="4" t="s">
        <v>964</v>
      </c>
      <c r="D256" s="6" t="s">
        <v>965</v>
      </c>
      <c r="E256" s="6" t="s">
        <v>34</v>
      </c>
      <c r="F256" s="6" t="s">
        <v>60</v>
      </c>
      <c r="G256" s="6" t="s">
        <v>98</v>
      </c>
      <c r="H256" s="6" t="s">
        <v>962</v>
      </c>
      <c r="I256" s="5" t="s">
        <v>963</v>
      </c>
      <c r="J256" s="6" t="s">
        <v>17</v>
      </c>
    </row>
    <row r="257" spans="1:10" x14ac:dyDescent="0.2">
      <c r="A257" s="4">
        <v>256</v>
      </c>
      <c r="B257" s="5" t="str">
        <f>IFERROR(INDEX(學齡前!$B:$B,MATCH(D257,學齡前!$D:$D,0)),"")</f>
        <v>D006</v>
      </c>
      <c r="C257" s="4" t="s">
        <v>966</v>
      </c>
      <c r="D257" s="6" t="s">
        <v>967</v>
      </c>
      <c r="E257" s="6" t="s">
        <v>12</v>
      </c>
      <c r="F257" s="6" t="s">
        <v>35</v>
      </c>
      <c r="G257" s="6" t="s">
        <v>370</v>
      </c>
      <c r="H257" s="6" t="s">
        <v>968</v>
      </c>
      <c r="I257" s="5" t="s">
        <v>969</v>
      </c>
      <c r="J257" s="6" t="s">
        <v>17</v>
      </c>
    </row>
    <row r="258" spans="1:10" x14ac:dyDescent="0.2">
      <c r="A258" s="4">
        <v>257</v>
      </c>
      <c r="B258" s="5" t="str">
        <f>IFERROR(INDEX(三年級!$B:$B,MATCH(D258,三年級!$D:$D,0)),"")</f>
        <v>S316</v>
      </c>
      <c r="C258" s="4" t="s">
        <v>970</v>
      </c>
      <c r="D258" s="6" t="s">
        <v>971</v>
      </c>
      <c r="E258" s="6" t="s">
        <v>12</v>
      </c>
      <c r="F258" s="6" t="s">
        <v>46</v>
      </c>
      <c r="G258" s="6" t="s">
        <v>157</v>
      </c>
      <c r="H258" s="6" t="s">
        <v>972</v>
      </c>
      <c r="I258" s="5" t="s">
        <v>973</v>
      </c>
      <c r="J258" s="6" t="s">
        <v>17</v>
      </c>
    </row>
    <row r="259" spans="1:10" x14ac:dyDescent="0.2">
      <c r="A259" s="4">
        <v>258</v>
      </c>
      <c r="B259" s="5" t="str">
        <f>IFERROR(INDEX(一年級!$B:$B,MATCH(D259,一年級!$D:$D,0)),"")</f>
        <v>S109</v>
      </c>
      <c r="C259" s="4" t="s">
        <v>974</v>
      </c>
      <c r="D259" s="6" t="s">
        <v>975</v>
      </c>
      <c r="E259" s="6" t="s">
        <v>34</v>
      </c>
      <c r="F259" s="6" t="s">
        <v>19</v>
      </c>
      <c r="G259" s="6" t="s">
        <v>98</v>
      </c>
      <c r="H259" s="6" t="s">
        <v>976</v>
      </c>
      <c r="I259" s="5" t="s">
        <v>977</v>
      </c>
      <c r="J259" s="6" t="s">
        <v>17</v>
      </c>
    </row>
    <row r="260" spans="1:10" x14ac:dyDescent="0.2">
      <c r="A260" s="4">
        <v>259</v>
      </c>
      <c r="B260" s="5" t="str">
        <f>IFERROR(INDEX(學齡前!$B:$B,MATCH(D260,學齡前!$D:$D,0)),"")</f>
        <v>D006</v>
      </c>
      <c r="C260" s="4" t="s">
        <v>978</v>
      </c>
      <c r="D260" s="6" t="s">
        <v>979</v>
      </c>
      <c r="E260" s="6" t="s">
        <v>12</v>
      </c>
      <c r="F260" s="6" t="s">
        <v>35</v>
      </c>
      <c r="G260" s="6" t="s">
        <v>980</v>
      </c>
      <c r="H260" s="6" t="s">
        <v>981</v>
      </c>
      <c r="I260" s="5" t="s">
        <v>982</v>
      </c>
      <c r="J260" s="6" t="s">
        <v>17</v>
      </c>
    </row>
    <row r="261" spans="1:10" x14ac:dyDescent="0.2">
      <c r="A261" s="4">
        <v>260</v>
      </c>
      <c r="B261" s="5" t="str">
        <f>IFERROR(INDEX(二年級!$B:$B,MATCH(D261,二年級!$D:$D,0)),"")</f>
        <v>S213</v>
      </c>
      <c r="C261" s="4" t="s">
        <v>983</v>
      </c>
      <c r="D261" s="6" t="s">
        <v>984</v>
      </c>
      <c r="E261" s="6" t="s">
        <v>34</v>
      </c>
      <c r="F261" s="6" t="s">
        <v>55</v>
      </c>
      <c r="G261" s="6" t="s">
        <v>47</v>
      </c>
      <c r="H261" s="6" t="s">
        <v>981</v>
      </c>
      <c r="I261" s="5" t="s">
        <v>982</v>
      </c>
      <c r="J261" s="6" t="s">
        <v>17</v>
      </c>
    </row>
    <row r="262" spans="1:10" x14ac:dyDescent="0.2">
      <c r="A262" s="4">
        <v>261</v>
      </c>
      <c r="B262" s="5" t="str">
        <f>IFERROR(INDEX(一年級!$B:$B,MATCH(D262,一年級!$D:$D,0)),"")</f>
        <v>S109</v>
      </c>
      <c r="C262" s="4" t="s">
        <v>985</v>
      </c>
      <c r="D262" s="6" t="s">
        <v>986</v>
      </c>
      <c r="E262" s="6" t="s">
        <v>12</v>
      </c>
      <c r="F262" s="6" t="s">
        <v>19</v>
      </c>
      <c r="G262" s="6" t="s">
        <v>131</v>
      </c>
      <c r="H262" s="6" t="s">
        <v>987</v>
      </c>
      <c r="I262" s="5" t="s">
        <v>988</v>
      </c>
      <c r="J262" s="6" t="s">
        <v>17</v>
      </c>
    </row>
    <row r="263" spans="1:10" x14ac:dyDescent="0.2">
      <c r="A263" s="4">
        <v>262</v>
      </c>
      <c r="B263" s="5" t="str">
        <f>IFERROR(INDEX(學齡前!$B:$B,MATCH(D263,學齡前!$D:$D,0)),"")</f>
        <v>D006</v>
      </c>
      <c r="C263" s="4" t="s">
        <v>989</v>
      </c>
      <c r="D263" s="6" t="s">
        <v>990</v>
      </c>
      <c r="E263" s="6" t="s">
        <v>12</v>
      </c>
      <c r="F263" s="6" t="s">
        <v>35</v>
      </c>
      <c r="G263" s="6" t="s">
        <v>991</v>
      </c>
      <c r="H263" s="6" t="s">
        <v>992</v>
      </c>
      <c r="I263" s="5" t="s">
        <v>993</v>
      </c>
      <c r="J263" s="6" t="s">
        <v>17</v>
      </c>
    </row>
    <row r="264" spans="1:10" x14ac:dyDescent="0.2">
      <c r="A264" s="4">
        <v>263</v>
      </c>
      <c r="B264" s="5" t="str">
        <f>IFERROR(INDEX(一年級!$B:$B,MATCH(D264,一年級!$D:$D,0)),"")</f>
        <v>S109</v>
      </c>
      <c r="C264" s="4" t="s">
        <v>994</v>
      </c>
      <c r="D264" s="6" t="s">
        <v>995</v>
      </c>
      <c r="E264" s="6" t="s">
        <v>34</v>
      </c>
      <c r="F264" s="6" t="s">
        <v>19</v>
      </c>
      <c r="G264" s="6" t="s">
        <v>24</v>
      </c>
      <c r="H264" s="6" t="s">
        <v>992</v>
      </c>
      <c r="I264" s="5" t="s">
        <v>993</v>
      </c>
      <c r="J264" s="6" t="s">
        <v>17</v>
      </c>
    </row>
  </sheetData>
  <phoneticPr fontId="2" type="noConversion"/>
  <pageMargins left="0.7" right="0.7" top="0.75" bottom="0.75" header="0.3" footer="0.3"/>
  <ignoredErrors>
    <ignoredError sqref="A1:J2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1"/>
  <sheetViews>
    <sheetView workbookViewId="0">
      <selection activeCell="B2" sqref="B2"/>
    </sheetView>
  </sheetViews>
  <sheetFormatPr baseColWidth="10" defaultRowHeight="15" x14ac:dyDescent="0.2"/>
  <cols>
    <col min="1" max="2" width="6.83203125" customWidth="1"/>
    <col min="3" max="3" width="10.83203125" customWidth="1"/>
    <col min="4" max="4" width="18.83203125" customWidth="1"/>
    <col min="5" max="5" width="6.83203125" customWidth="1"/>
    <col min="6" max="6" width="8.83203125" customWidth="1"/>
    <col min="7" max="7" width="21.83203125" customWidth="1"/>
    <col min="8" max="8" width="10.83203125" customWidth="1"/>
    <col min="9" max="9" width="15.83203125" customWidth="1"/>
    <col min="10" max="10" width="53.83203125" customWidth="1"/>
  </cols>
  <sheetData>
    <row r="1" spans="1:10" x14ac:dyDescent="0.2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2">
      <c r="A2" s="4">
        <v>1</v>
      </c>
      <c r="B2" s="7" t="s">
        <v>996</v>
      </c>
      <c r="C2" s="4" t="s">
        <v>416</v>
      </c>
      <c r="D2" s="6" t="s">
        <v>417</v>
      </c>
      <c r="E2" s="6" t="s">
        <v>34</v>
      </c>
      <c r="F2" s="6" t="s">
        <v>418</v>
      </c>
      <c r="G2" s="6" t="s">
        <v>419</v>
      </c>
      <c r="H2" s="6" t="s">
        <v>420</v>
      </c>
      <c r="I2" s="5" t="s">
        <v>421</v>
      </c>
      <c r="J2" s="6" t="s">
        <v>17</v>
      </c>
    </row>
    <row r="3" spans="1:10" x14ac:dyDescent="0.2">
      <c r="A3" s="4">
        <v>2</v>
      </c>
      <c r="B3" s="7" t="s">
        <v>996</v>
      </c>
      <c r="C3" s="4" t="s">
        <v>916</v>
      </c>
      <c r="D3" s="6" t="s">
        <v>917</v>
      </c>
      <c r="E3" s="6" t="s">
        <v>12</v>
      </c>
      <c r="F3" s="6" t="s">
        <v>418</v>
      </c>
      <c r="G3" s="6" t="s">
        <v>419</v>
      </c>
      <c r="H3" s="6" t="s">
        <v>918</v>
      </c>
      <c r="I3" s="5" t="s">
        <v>919</v>
      </c>
      <c r="J3" s="6" t="s">
        <v>17</v>
      </c>
    </row>
    <row r="4" spans="1:10" x14ac:dyDescent="0.2">
      <c r="A4" s="4">
        <v>3</v>
      </c>
      <c r="B4" s="7" t="s">
        <v>996</v>
      </c>
      <c r="C4" s="4" t="s">
        <v>925</v>
      </c>
      <c r="D4" s="6" t="s">
        <v>926</v>
      </c>
      <c r="E4" s="6" t="s">
        <v>12</v>
      </c>
      <c r="F4" s="6" t="s">
        <v>418</v>
      </c>
      <c r="G4" s="6" t="s">
        <v>419</v>
      </c>
      <c r="H4" s="6" t="s">
        <v>918</v>
      </c>
      <c r="I4" s="5" t="s">
        <v>919</v>
      </c>
      <c r="J4" s="6" t="s">
        <v>17</v>
      </c>
    </row>
    <row r="5" spans="1:10" x14ac:dyDescent="0.2">
      <c r="A5" s="4">
        <v>4</v>
      </c>
      <c r="B5" s="7" t="s">
        <v>996</v>
      </c>
      <c r="C5" s="4" t="s">
        <v>10</v>
      </c>
      <c r="D5" s="6" t="s">
        <v>71</v>
      </c>
      <c r="E5" s="6" t="s">
        <v>34</v>
      </c>
      <c r="F5" s="6" t="s">
        <v>72</v>
      </c>
      <c r="G5" s="6" t="s">
        <v>73</v>
      </c>
      <c r="H5" s="6" t="s">
        <v>74</v>
      </c>
      <c r="I5" s="5" t="s">
        <v>75</v>
      </c>
      <c r="J5" s="6" t="s">
        <v>17</v>
      </c>
    </row>
    <row r="6" spans="1:10" x14ac:dyDescent="0.2">
      <c r="A6" s="4">
        <v>5</v>
      </c>
      <c r="B6" s="7" t="s">
        <v>996</v>
      </c>
      <c r="C6" s="4" t="s">
        <v>10</v>
      </c>
      <c r="D6" s="6" t="s">
        <v>76</v>
      </c>
      <c r="E6" s="6" t="s">
        <v>12</v>
      </c>
      <c r="F6" s="6" t="s">
        <v>72</v>
      </c>
      <c r="G6" s="6" t="s">
        <v>77</v>
      </c>
      <c r="H6" s="6" t="s">
        <v>78</v>
      </c>
      <c r="I6" s="5" t="s">
        <v>79</v>
      </c>
      <c r="J6" s="6" t="s">
        <v>17</v>
      </c>
    </row>
    <row r="7" spans="1:10" x14ac:dyDescent="0.2">
      <c r="A7" s="4">
        <v>6</v>
      </c>
      <c r="B7" s="7" t="s">
        <v>996</v>
      </c>
      <c r="C7" s="4" t="s">
        <v>138</v>
      </c>
      <c r="D7" s="6" t="s">
        <v>139</v>
      </c>
      <c r="E7" s="6" t="s">
        <v>12</v>
      </c>
      <c r="F7" s="6" t="s">
        <v>72</v>
      </c>
      <c r="G7" s="6" t="s">
        <v>72</v>
      </c>
      <c r="H7" s="6" t="s">
        <v>136</v>
      </c>
      <c r="I7" s="5" t="s">
        <v>137</v>
      </c>
      <c r="J7" s="6" t="s">
        <v>140</v>
      </c>
    </row>
    <row r="8" spans="1:10" x14ac:dyDescent="0.2">
      <c r="A8" s="4">
        <v>7</v>
      </c>
      <c r="B8" s="7" t="s">
        <v>996</v>
      </c>
      <c r="C8" s="4" t="s">
        <v>166</v>
      </c>
      <c r="D8" s="6" t="s">
        <v>167</v>
      </c>
      <c r="E8" s="6" t="s">
        <v>12</v>
      </c>
      <c r="F8" s="6" t="s">
        <v>72</v>
      </c>
      <c r="G8" s="6" t="s">
        <v>168</v>
      </c>
      <c r="H8" s="6" t="s">
        <v>169</v>
      </c>
      <c r="I8" s="5" t="s">
        <v>170</v>
      </c>
      <c r="J8" s="6" t="s">
        <v>17</v>
      </c>
    </row>
    <row r="9" spans="1:10" x14ac:dyDescent="0.2">
      <c r="A9" s="4">
        <v>8</v>
      </c>
      <c r="B9" s="7" t="s">
        <v>996</v>
      </c>
      <c r="C9" s="4" t="s">
        <v>200</v>
      </c>
      <c r="D9" s="6" t="s">
        <v>201</v>
      </c>
      <c r="E9" s="6" t="s">
        <v>12</v>
      </c>
      <c r="F9" s="6" t="s">
        <v>72</v>
      </c>
      <c r="G9" s="6" t="s">
        <v>202</v>
      </c>
      <c r="H9" s="6" t="s">
        <v>203</v>
      </c>
      <c r="I9" s="5" t="s">
        <v>204</v>
      </c>
      <c r="J9" s="6" t="s">
        <v>17</v>
      </c>
    </row>
    <row r="10" spans="1:10" x14ac:dyDescent="0.2">
      <c r="A10" s="4">
        <v>9</v>
      </c>
      <c r="B10" s="7" t="s">
        <v>996</v>
      </c>
      <c r="C10" s="4" t="s">
        <v>264</v>
      </c>
      <c r="D10" s="6" t="s">
        <v>265</v>
      </c>
      <c r="E10" s="6" t="s">
        <v>12</v>
      </c>
      <c r="F10" s="6" t="s">
        <v>72</v>
      </c>
      <c r="G10" s="6" t="s">
        <v>261</v>
      </c>
      <c r="H10" s="6" t="s">
        <v>262</v>
      </c>
      <c r="I10" s="5" t="s">
        <v>263</v>
      </c>
      <c r="J10" s="6" t="s">
        <v>17</v>
      </c>
    </row>
    <row r="11" spans="1:10" x14ac:dyDescent="0.2">
      <c r="A11" s="4">
        <v>10</v>
      </c>
      <c r="B11" s="7" t="s">
        <v>996</v>
      </c>
      <c r="C11" s="4" t="s">
        <v>362</v>
      </c>
      <c r="D11" s="6" t="s">
        <v>363</v>
      </c>
      <c r="E11" s="6" t="s">
        <v>34</v>
      </c>
      <c r="F11" s="6" t="s">
        <v>72</v>
      </c>
      <c r="G11" s="6" t="s">
        <v>256</v>
      </c>
      <c r="H11" s="6" t="s">
        <v>358</v>
      </c>
      <c r="I11" s="5" t="s">
        <v>359</v>
      </c>
      <c r="J11" s="6" t="s">
        <v>17</v>
      </c>
    </row>
    <row r="12" spans="1:10" x14ac:dyDescent="0.2">
      <c r="A12" s="4">
        <v>11</v>
      </c>
      <c r="B12" s="7" t="s">
        <v>996</v>
      </c>
      <c r="C12" s="4" t="s">
        <v>403</v>
      </c>
      <c r="D12" s="6" t="s">
        <v>404</v>
      </c>
      <c r="E12" s="6" t="s">
        <v>12</v>
      </c>
      <c r="F12" s="6" t="s">
        <v>72</v>
      </c>
      <c r="G12" s="6" t="s">
        <v>400</v>
      </c>
      <c r="H12" s="6" t="s">
        <v>401</v>
      </c>
      <c r="I12" s="5" t="s">
        <v>402</v>
      </c>
      <c r="J12" s="6" t="s">
        <v>17</v>
      </c>
    </row>
    <row r="13" spans="1:10" x14ac:dyDescent="0.2">
      <c r="A13" s="4">
        <v>12</v>
      </c>
      <c r="B13" s="7" t="s">
        <v>996</v>
      </c>
      <c r="C13" s="4" t="s">
        <v>422</v>
      </c>
      <c r="D13" s="6" t="s">
        <v>423</v>
      </c>
      <c r="E13" s="6" t="s">
        <v>34</v>
      </c>
      <c r="F13" s="6" t="s">
        <v>72</v>
      </c>
      <c r="G13" s="6" t="s">
        <v>424</v>
      </c>
      <c r="H13" s="6" t="s">
        <v>425</v>
      </c>
      <c r="I13" s="5" t="s">
        <v>426</v>
      </c>
      <c r="J13" s="6" t="s">
        <v>17</v>
      </c>
    </row>
    <row r="14" spans="1:10" x14ac:dyDescent="0.2">
      <c r="A14" s="4">
        <v>13</v>
      </c>
      <c r="B14" s="7" t="s">
        <v>997</v>
      </c>
      <c r="C14" s="4" t="s">
        <v>559</v>
      </c>
      <c r="D14" s="6" t="s">
        <v>560</v>
      </c>
      <c r="E14" s="6" t="s">
        <v>34</v>
      </c>
      <c r="F14" s="6" t="s">
        <v>72</v>
      </c>
      <c r="G14" s="6" t="s">
        <v>561</v>
      </c>
      <c r="H14" s="6" t="s">
        <v>562</v>
      </c>
      <c r="I14" s="5" t="s">
        <v>563</v>
      </c>
      <c r="J14" s="6" t="s">
        <v>17</v>
      </c>
    </row>
    <row r="15" spans="1:10" x14ac:dyDescent="0.2">
      <c r="A15" s="4">
        <v>14</v>
      </c>
      <c r="B15" s="7" t="s">
        <v>997</v>
      </c>
      <c r="C15" s="4" t="s">
        <v>647</v>
      </c>
      <c r="D15" s="6" t="s">
        <v>648</v>
      </c>
      <c r="E15" s="6" t="s">
        <v>34</v>
      </c>
      <c r="F15" s="6" t="s">
        <v>72</v>
      </c>
      <c r="G15" s="6" t="s">
        <v>202</v>
      </c>
      <c r="H15" s="6" t="s">
        <v>649</v>
      </c>
      <c r="I15" s="5" t="s">
        <v>650</v>
      </c>
      <c r="J15" s="6" t="s">
        <v>17</v>
      </c>
    </row>
    <row r="16" spans="1:10" x14ac:dyDescent="0.2">
      <c r="A16" s="4">
        <v>15</v>
      </c>
      <c r="B16" s="7" t="s">
        <v>997</v>
      </c>
      <c r="C16" s="4" t="s">
        <v>10</v>
      </c>
      <c r="D16" s="6" t="s">
        <v>27</v>
      </c>
      <c r="E16" s="6" t="s">
        <v>12</v>
      </c>
      <c r="F16" s="6" t="s">
        <v>28</v>
      </c>
      <c r="G16" s="6" t="s">
        <v>29</v>
      </c>
      <c r="H16" s="6" t="s">
        <v>30</v>
      </c>
      <c r="I16" s="5" t="s">
        <v>31</v>
      </c>
      <c r="J16" s="6" t="s">
        <v>32</v>
      </c>
    </row>
    <row r="17" spans="1:10" x14ac:dyDescent="0.2">
      <c r="A17" s="4">
        <v>16</v>
      </c>
      <c r="B17" s="7" t="s">
        <v>997</v>
      </c>
      <c r="C17" s="4" t="s">
        <v>10</v>
      </c>
      <c r="D17" s="6" t="s">
        <v>61</v>
      </c>
      <c r="E17" s="6" t="s">
        <v>34</v>
      </c>
      <c r="F17" s="6" t="s">
        <v>28</v>
      </c>
      <c r="G17" s="6" t="s">
        <v>62</v>
      </c>
      <c r="H17" s="6" t="s">
        <v>63</v>
      </c>
      <c r="I17" s="5" t="s">
        <v>64</v>
      </c>
      <c r="J17" s="6" t="s">
        <v>17</v>
      </c>
    </row>
    <row r="18" spans="1:10" x14ac:dyDescent="0.2">
      <c r="A18" s="4">
        <v>17</v>
      </c>
      <c r="B18" s="7" t="s">
        <v>997</v>
      </c>
      <c r="C18" s="4" t="s">
        <v>10</v>
      </c>
      <c r="D18" s="6" t="s">
        <v>83</v>
      </c>
      <c r="E18" s="6" t="s">
        <v>34</v>
      </c>
      <c r="F18" s="6" t="s">
        <v>28</v>
      </c>
      <c r="G18" s="6" t="s">
        <v>84</v>
      </c>
      <c r="H18" s="6" t="s">
        <v>85</v>
      </c>
      <c r="I18" s="5" t="s">
        <v>86</v>
      </c>
      <c r="J18" s="6" t="s">
        <v>17</v>
      </c>
    </row>
    <row r="19" spans="1:10" x14ac:dyDescent="0.2">
      <c r="A19" s="4">
        <v>18</v>
      </c>
      <c r="B19" s="7" t="s">
        <v>997</v>
      </c>
      <c r="C19" s="4" t="s">
        <v>10</v>
      </c>
      <c r="D19" s="6" t="s">
        <v>105</v>
      </c>
      <c r="E19" s="6" t="s">
        <v>34</v>
      </c>
      <c r="F19" s="6" t="s">
        <v>28</v>
      </c>
      <c r="G19" s="6" t="s">
        <v>106</v>
      </c>
      <c r="H19" s="6" t="s">
        <v>107</v>
      </c>
      <c r="I19" s="5" t="s">
        <v>108</v>
      </c>
      <c r="J19" s="6" t="s">
        <v>17</v>
      </c>
    </row>
    <row r="20" spans="1:10" x14ac:dyDescent="0.2">
      <c r="A20" s="4">
        <v>19</v>
      </c>
      <c r="B20" s="7" t="s">
        <v>997</v>
      </c>
      <c r="C20" s="4" t="s">
        <v>10</v>
      </c>
      <c r="D20" s="6" t="s">
        <v>123</v>
      </c>
      <c r="E20" s="6" t="s">
        <v>34</v>
      </c>
      <c r="F20" s="6" t="s">
        <v>28</v>
      </c>
      <c r="G20" s="6" t="s">
        <v>106</v>
      </c>
      <c r="H20" s="6" t="s">
        <v>124</v>
      </c>
      <c r="I20" s="5" t="s">
        <v>125</v>
      </c>
      <c r="J20" s="6" t="s">
        <v>17</v>
      </c>
    </row>
    <row r="21" spans="1:10" x14ac:dyDescent="0.2">
      <c r="A21" s="4">
        <v>20</v>
      </c>
      <c r="B21" s="7" t="s">
        <v>997</v>
      </c>
      <c r="C21" s="4" t="s">
        <v>230</v>
      </c>
      <c r="D21" s="6" t="s">
        <v>231</v>
      </c>
      <c r="E21" s="6" t="s">
        <v>12</v>
      </c>
      <c r="F21" s="6" t="s">
        <v>28</v>
      </c>
      <c r="G21" s="6" t="s">
        <v>227</v>
      </c>
      <c r="H21" s="6" t="s">
        <v>228</v>
      </c>
      <c r="I21" s="5" t="s">
        <v>229</v>
      </c>
      <c r="J21" s="6" t="s">
        <v>17</v>
      </c>
    </row>
    <row r="22" spans="1:10" x14ac:dyDescent="0.2">
      <c r="A22" s="4">
        <v>21</v>
      </c>
      <c r="B22" s="7" t="s">
        <v>997</v>
      </c>
      <c r="C22" s="4" t="s">
        <v>249</v>
      </c>
      <c r="D22" s="6" t="s">
        <v>250</v>
      </c>
      <c r="E22" s="6" t="s">
        <v>12</v>
      </c>
      <c r="F22" s="6" t="s">
        <v>28</v>
      </c>
      <c r="G22" s="6" t="s">
        <v>251</v>
      </c>
      <c r="H22" s="6" t="s">
        <v>252</v>
      </c>
      <c r="I22" s="5" t="s">
        <v>253</v>
      </c>
      <c r="J22" s="6" t="s">
        <v>17</v>
      </c>
    </row>
    <row r="23" spans="1:10" x14ac:dyDescent="0.2">
      <c r="A23" s="4">
        <v>22</v>
      </c>
      <c r="B23" s="7" t="s">
        <v>997</v>
      </c>
      <c r="C23" s="4" t="s">
        <v>254</v>
      </c>
      <c r="D23" s="6" t="s">
        <v>255</v>
      </c>
      <c r="E23" s="6" t="s">
        <v>12</v>
      </c>
      <c r="F23" s="6" t="s">
        <v>28</v>
      </c>
      <c r="G23" s="6" t="s">
        <v>256</v>
      </c>
      <c r="H23" s="6" t="s">
        <v>257</v>
      </c>
      <c r="I23" s="5" t="s">
        <v>258</v>
      </c>
      <c r="J23" s="6" t="s">
        <v>17</v>
      </c>
    </row>
    <row r="24" spans="1:10" x14ac:dyDescent="0.2">
      <c r="A24" s="4">
        <v>23</v>
      </c>
      <c r="B24" s="7" t="s">
        <v>997</v>
      </c>
      <c r="C24" s="4" t="s">
        <v>266</v>
      </c>
      <c r="D24" s="6" t="s">
        <v>267</v>
      </c>
      <c r="E24" s="6" t="s">
        <v>34</v>
      </c>
      <c r="F24" s="6" t="s">
        <v>28</v>
      </c>
      <c r="G24" s="6" t="s">
        <v>268</v>
      </c>
      <c r="H24" s="6" t="s">
        <v>269</v>
      </c>
      <c r="I24" s="5" t="s">
        <v>270</v>
      </c>
      <c r="J24" s="6" t="s">
        <v>17</v>
      </c>
    </row>
    <row r="25" spans="1:10" x14ac:dyDescent="0.2">
      <c r="A25" s="4">
        <v>24</v>
      </c>
      <c r="B25" s="7" t="s">
        <v>997</v>
      </c>
      <c r="C25" s="4" t="s">
        <v>277</v>
      </c>
      <c r="D25" s="6" t="s">
        <v>278</v>
      </c>
      <c r="E25" s="6" t="s">
        <v>34</v>
      </c>
      <c r="F25" s="6" t="s">
        <v>28</v>
      </c>
      <c r="G25" s="6" t="s">
        <v>157</v>
      </c>
      <c r="H25" s="6" t="s">
        <v>273</v>
      </c>
      <c r="I25" s="5" t="s">
        <v>274</v>
      </c>
      <c r="J25" s="6" t="s">
        <v>279</v>
      </c>
    </row>
    <row r="26" spans="1:10" x14ac:dyDescent="0.2">
      <c r="A26" s="4">
        <v>25</v>
      </c>
      <c r="B26" s="7" t="s">
        <v>998</v>
      </c>
      <c r="C26" s="4" t="s">
        <v>317</v>
      </c>
      <c r="D26" s="6" t="s">
        <v>318</v>
      </c>
      <c r="E26" s="6" t="s">
        <v>34</v>
      </c>
      <c r="F26" s="6" t="s">
        <v>28</v>
      </c>
      <c r="G26" s="6" t="s">
        <v>268</v>
      </c>
      <c r="H26" s="6" t="s">
        <v>319</v>
      </c>
      <c r="I26" s="5" t="s">
        <v>320</v>
      </c>
      <c r="J26" s="6" t="s">
        <v>17</v>
      </c>
    </row>
    <row r="27" spans="1:10" x14ac:dyDescent="0.2">
      <c r="A27" s="4">
        <v>26</v>
      </c>
      <c r="B27" s="7" t="s">
        <v>998</v>
      </c>
      <c r="C27" s="4" t="s">
        <v>326</v>
      </c>
      <c r="D27" s="6" t="s">
        <v>327</v>
      </c>
      <c r="E27" s="6" t="s">
        <v>34</v>
      </c>
      <c r="F27" s="6" t="s">
        <v>28</v>
      </c>
      <c r="G27" s="6" t="s">
        <v>328</v>
      </c>
      <c r="H27" s="6" t="s">
        <v>329</v>
      </c>
      <c r="I27" s="5" t="s">
        <v>330</v>
      </c>
      <c r="J27" s="6" t="s">
        <v>17</v>
      </c>
    </row>
    <row r="28" spans="1:10" x14ac:dyDescent="0.2">
      <c r="A28" s="4">
        <v>27</v>
      </c>
      <c r="B28" s="7" t="s">
        <v>998</v>
      </c>
      <c r="C28" s="4" t="s">
        <v>331</v>
      </c>
      <c r="D28" s="6" t="s">
        <v>332</v>
      </c>
      <c r="E28" s="6" t="s">
        <v>34</v>
      </c>
      <c r="F28" s="6" t="s">
        <v>28</v>
      </c>
      <c r="G28" s="6" t="s">
        <v>328</v>
      </c>
      <c r="H28" s="6" t="s">
        <v>329</v>
      </c>
      <c r="I28" s="5" t="s">
        <v>330</v>
      </c>
      <c r="J28" s="6" t="s">
        <v>17</v>
      </c>
    </row>
    <row r="29" spans="1:10" x14ac:dyDescent="0.2">
      <c r="A29" s="4">
        <v>28</v>
      </c>
      <c r="B29" s="7" t="s">
        <v>998</v>
      </c>
      <c r="C29" s="4" t="s">
        <v>345</v>
      </c>
      <c r="D29" s="6" t="s">
        <v>346</v>
      </c>
      <c r="E29" s="6" t="s">
        <v>12</v>
      </c>
      <c r="F29" s="6" t="s">
        <v>28</v>
      </c>
      <c r="G29" s="6" t="s">
        <v>347</v>
      </c>
      <c r="H29" s="6" t="s">
        <v>343</v>
      </c>
      <c r="I29" s="5" t="s">
        <v>344</v>
      </c>
      <c r="J29" s="6" t="s">
        <v>17</v>
      </c>
    </row>
    <row r="30" spans="1:10" x14ac:dyDescent="0.2">
      <c r="A30" s="4">
        <v>29</v>
      </c>
      <c r="B30" s="7" t="s">
        <v>998</v>
      </c>
      <c r="C30" s="4" t="s">
        <v>356</v>
      </c>
      <c r="D30" s="6" t="s">
        <v>357</v>
      </c>
      <c r="E30" s="6" t="s">
        <v>12</v>
      </c>
      <c r="F30" s="6" t="s">
        <v>28</v>
      </c>
      <c r="G30" s="6" t="s">
        <v>256</v>
      </c>
      <c r="H30" s="6" t="s">
        <v>358</v>
      </c>
      <c r="I30" s="5" t="s">
        <v>359</v>
      </c>
      <c r="J30" s="6" t="s">
        <v>17</v>
      </c>
    </row>
    <row r="31" spans="1:10" x14ac:dyDescent="0.2">
      <c r="A31" s="4">
        <v>30</v>
      </c>
      <c r="B31" s="7" t="s">
        <v>998</v>
      </c>
      <c r="C31" s="4" t="s">
        <v>360</v>
      </c>
      <c r="D31" s="6" t="s">
        <v>361</v>
      </c>
      <c r="E31" s="6" t="s">
        <v>12</v>
      </c>
      <c r="F31" s="6" t="s">
        <v>28</v>
      </c>
      <c r="G31" s="6" t="s">
        <v>256</v>
      </c>
      <c r="H31" s="6" t="s">
        <v>358</v>
      </c>
      <c r="I31" s="5" t="s">
        <v>359</v>
      </c>
      <c r="J31" s="6" t="s">
        <v>17</v>
      </c>
    </row>
    <row r="32" spans="1:10" x14ac:dyDescent="0.2">
      <c r="A32" s="4">
        <v>31</v>
      </c>
      <c r="B32" s="7" t="s">
        <v>998</v>
      </c>
      <c r="C32" s="4" t="s">
        <v>371</v>
      </c>
      <c r="D32" s="6" t="s">
        <v>372</v>
      </c>
      <c r="E32" s="6" t="s">
        <v>34</v>
      </c>
      <c r="F32" s="6" t="s">
        <v>28</v>
      </c>
      <c r="G32" s="6" t="s">
        <v>261</v>
      </c>
      <c r="H32" s="6" t="s">
        <v>373</v>
      </c>
      <c r="I32" s="5" t="s">
        <v>374</v>
      </c>
      <c r="J32" s="6" t="s">
        <v>17</v>
      </c>
    </row>
    <row r="33" spans="1:10" x14ac:dyDescent="0.2">
      <c r="A33" s="4">
        <v>32</v>
      </c>
      <c r="B33" s="7" t="s">
        <v>998</v>
      </c>
      <c r="C33" s="4" t="s">
        <v>398</v>
      </c>
      <c r="D33" s="6" t="s">
        <v>399</v>
      </c>
      <c r="E33" s="6" t="s">
        <v>12</v>
      </c>
      <c r="F33" s="6" t="s">
        <v>28</v>
      </c>
      <c r="G33" s="6" t="s">
        <v>400</v>
      </c>
      <c r="H33" s="6" t="s">
        <v>401</v>
      </c>
      <c r="I33" s="5" t="s">
        <v>402</v>
      </c>
      <c r="J33" s="6" t="s">
        <v>17</v>
      </c>
    </row>
    <row r="34" spans="1:10" x14ac:dyDescent="0.2">
      <c r="A34" s="4">
        <v>33</v>
      </c>
      <c r="B34" s="7" t="s">
        <v>998</v>
      </c>
      <c r="C34" s="4" t="s">
        <v>436</v>
      </c>
      <c r="D34" s="6" t="s">
        <v>437</v>
      </c>
      <c r="E34" s="6" t="s">
        <v>34</v>
      </c>
      <c r="F34" s="6" t="s">
        <v>28</v>
      </c>
      <c r="G34" s="6" t="s">
        <v>192</v>
      </c>
      <c r="H34" s="6" t="s">
        <v>438</v>
      </c>
      <c r="I34" s="5" t="s">
        <v>439</v>
      </c>
      <c r="J34" s="6" t="s">
        <v>17</v>
      </c>
    </row>
    <row r="35" spans="1:10" x14ac:dyDescent="0.2">
      <c r="A35" s="4">
        <v>34</v>
      </c>
      <c r="B35" s="7" t="s">
        <v>998</v>
      </c>
      <c r="C35" s="4" t="s">
        <v>471</v>
      </c>
      <c r="D35" s="6" t="s">
        <v>472</v>
      </c>
      <c r="E35" s="6" t="s">
        <v>12</v>
      </c>
      <c r="F35" s="6" t="s">
        <v>28</v>
      </c>
      <c r="G35" s="6" t="s">
        <v>473</v>
      </c>
      <c r="H35" s="6" t="s">
        <v>474</v>
      </c>
      <c r="I35" s="5" t="s">
        <v>475</v>
      </c>
      <c r="J35" s="6" t="s">
        <v>17</v>
      </c>
    </row>
    <row r="36" spans="1:10" x14ac:dyDescent="0.2">
      <c r="A36" s="4">
        <v>35</v>
      </c>
      <c r="B36" s="7" t="s">
        <v>998</v>
      </c>
      <c r="C36" s="4" t="s">
        <v>519</v>
      </c>
      <c r="D36" s="6" t="s">
        <v>520</v>
      </c>
      <c r="E36" s="6" t="s">
        <v>34</v>
      </c>
      <c r="F36" s="6" t="s">
        <v>28</v>
      </c>
      <c r="G36" s="6" t="s">
        <v>521</v>
      </c>
      <c r="H36" s="6" t="s">
        <v>522</v>
      </c>
      <c r="I36" s="5" t="s">
        <v>523</v>
      </c>
      <c r="J36" s="6" t="s">
        <v>17</v>
      </c>
    </row>
    <row r="37" spans="1:10" x14ac:dyDescent="0.2">
      <c r="A37" s="4">
        <v>36</v>
      </c>
      <c r="B37" s="7" t="s">
        <v>998</v>
      </c>
      <c r="C37" s="4" t="s">
        <v>549</v>
      </c>
      <c r="D37" s="6" t="s">
        <v>550</v>
      </c>
      <c r="E37" s="6" t="s">
        <v>34</v>
      </c>
      <c r="F37" s="6" t="s">
        <v>28</v>
      </c>
      <c r="G37" s="6" t="s">
        <v>551</v>
      </c>
      <c r="H37" s="6" t="s">
        <v>552</v>
      </c>
      <c r="I37" s="5" t="s">
        <v>553</v>
      </c>
      <c r="J37" s="6" t="s">
        <v>17</v>
      </c>
    </row>
    <row r="38" spans="1:10" x14ac:dyDescent="0.2">
      <c r="A38" s="4">
        <v>37</v>
      </c>
      <c r="B38" s="7" t="s">
        <v>998</v>
      </c>
      <c r="C38" s="4" t="s">
        <v>574</v>
      </c>
      <c r="D38" s="6" t="s">
        <v>575</v>
      </c>
      <c r="E38" s="6" t="s">
        <v>12</v>
      </c>
      <c r="F38" s="6" t="s">
        <v>28</v>
      </c>
      <c r="G38" s="6" t="s">
        <v>521</v>
      </c>
      <c r="H38" s="6" t="s">
        <v>576</v>
      </c>
      <c r="I38" s="5" t="s">
        <v>577</v>
      </c>
      <c r="J38" s="6" t="s">
        <v>17</v>
      </c>
    </row>
    <row r="39" spans="1:10" x14ac:dyDescent="0.2">
      <c r="A39" s="4">
        <v>38</v>
      </c>
      <c r="B39" s="7" t="s">
        <v>998</v>
      </c>
      <c r="C39" s="4" t="s">
        <v>716</v>
      </c>
      <c r="D39" s="6" t="s">
        <v>717</v>
      </c>
      <c r="E39" s="6" t="s">
        <v>12</v>
      </c>
      <c r="F39" s="6" t="s">
        <v>28</v>
      </c>
      <c r="G39" s="6" t="s">
        <v>718</v>
      </c>
      <c r="H39" s="6" t="s">
        <v>719</v>
      </c>
      <c r="I39" s="5" t="s">
        <v>720</v>
      </c>
      <c r="J39" s="6" t="s">
        <v>17</v>
      </c>
    </row>
    <row r="40" spans="1:10" x14ac:dyDescent="0.2">
      <c r="A40" s="4">
        <v>39</v>
      </c>
      <c r="B40" s="7" t="s">
        <v>998</v>
      </c>
      <c r="C40" s="4" t="s">
        <v>742</v>
      </c>
      <c r="D40" s="6" t="s">
        <v>743</v>
      </c>
      <c r="E40" s="6" t="s">
        <v>12</v>
      </c>
      <c r="F40" s="6" t="s">
        <v>28</v>
      </c>
      <c r="G40" s="6" t="s">
        <v>73</v>
      </c>
      <c r="H40" s="6" t="s">
        <v>740</v>
      </c>
      <c r="I40" s="5" t="s">
        <v>741</v>
      </c>
      <c r="J40" s="6" t="s">
        <v>17</v>
      </c>
    </row>
    <row r="41" spans="1:10" x14ac:dyDescent="0.2">
      <c r="A41" s="4">
        <v>40</v>
      </c>
      <c r="B41" s="7" t="s">
        <v>998</v>
      </c>
      <c r="C41" s="4" t="s">
        <v>752</v>
      </c>
      <c r="D41" s="6" t="s">
        <v>753</v>
      </c>
      <c r="E41" s="6" t="s">
        <v>12</v>
      </c>
      <c r="F41" s="6" t="s">
        <v>28</v>
      </c>
      <c r="G41" s="6" t="s">
        <v>754</v>
      </c>
      <c r="H41" s="6" t="s">
        <v>750</v>
      </c>
      <c r="I41" s="5" t="s">
        <v>751</v>
      </c>
      <c r="J41" s="6" t="s">
        <v>17</v>
      </c>
    </row>
    <row r="42" spans="1:10" x14ac:dyDescent="0.2">
      <c r="A42" s="4">
        <v>41</v>
      </c>
      <c r="B42" s="7" t="s">
        <v>998</v>
      </c>
      <c r="C42" s="4" t="s">
        <v>790</v>
      </c>
      <c r="D42" s="6" t="s">
        <v>791</v>
      </c>
      <c r="E42" s="6" t="s">
        <v>12</v>
      </c>
      <c r="F42" s="6" t="s">
        <v>28</v>
      </c>
      <c r="G42" s="6" t="s">
        <v>792</v>
      </c>
      <c r="H42" s="6" t="s">
        <v>788</v>
      </c>
      <c r="I42" s="5" t="s">
        <v>789</v>
      </c>
      <c r="J42" s="6" t="s">
        <v>17</v>
      </c>
    </row>
    <row r="43" spans="1:10" x14ac:dyDescent="0.2">
      <c r="A43" s="4">
        <v>42</v>
      </c>
      <c r="B43" s="7" t="s">
        <v>998</v>
      </c>
      <c r="C43" s="4" t="s">
        <v>802</v>
      </c>
      <c r="D43" s="6" t="s">
        <v>803</v>
      </c>
      <c r="E43" s="6" t="s">
        <v>12</v>
      </c>
      <c r="F43" s="6" t="s">
        <v>28</v>
      </c>
      <c r="G43" s="6" t="s">
        <v>804</v>
      </c>
      <c r="H43" s="6" t="s">
        <v>805</v>
      </c>
      <c r="I43" s="5" t="s">
        <v>806</v>
      </c>
      <c r="J43" s="6" t="s">
        <v>17</v>
      </c>
    </row>
    <row r="44" spans="1:10" x14ac:dyDescent="0.2">
      <c r="A44" s="4">
        <v>43</v>
      </c>
      <c r="B44" s="7" t="s">
        <v>998</v>
      </c>
      <c r="C44" s="4" t="s">
        <v>816</v>
      </c>
      <c r="D44" s="6" t="s">
        <v>817</v>
      </c>
      <c r="E44" s="6" t="s">
        <v>12</v>
      </c>
      <c r="F44" s="6" t="s">
        <v>28</v>
      </c>
      <c r="G44" s="6" t="s">
        <v>818</v>
      </c>
      <c r="H44" s="6" t="s">
        <v>819</v>
      </c>
      <c r="I44" s="5" t="s">
        <v>820</v>
      </c>
      <c r="J44" s="6" t="s">
        <v>17</v>
      </c>
    </row>
    <row r="45" spans="1:10" x14ac:dyDescent="0.2">
      <c r="A45" s="4">
        <v>44</v>
      </c>
      <c r="B45" s="7" t="s">
        <v>998</v>
      </c>
      <c r="C45" s="4" t="s">
        <v>826</v>
      </c>
      <c r="D45" s="6" t="s">
        <v>827</v>
      </c>
      <c r="E45" s="6" t="s">
        <v>34</v>
      </c>
      <c r="F45" s="6" t="s">
        <v>28</v>
      </c>
      <c r="G45" s="6" t="s">
        <v>823</v>
      </c>
      <c r="H45" s="6" t="s">
        <v>824</v>
      </c>
      <c r="I45" s="5" t="s">
        <v>825</v>
      </c>
      <c r="J45" s="6" t="s">
        <v>17</v>
      </c>
    </row>
    <row r="46" spans="1:10" x14ac:dyDescent="0.2">
      <c r="A46" s="4">
        <v>45</v>
      </c>
      <c r="B46" s="7" t="s">
        <v>998</v>
      </c>
      <c r="C46" s="4" t="s">
        <v>878</v>
      </c>
      <c r="D46" s="6" t="s">
        <v>879</v>
      </c>
      <c r="E46" s="6" t="s">
        <v>12</v>
      </c>
      <c r="F46" s="6" t="s">
        <v>28</v>
      </c>
      <c r="G46" s="6" t="s">
        <v>880</v>
      </c>
      <c r="H46" s="6" t="s">
        <v>881</v>
      </c>
      <c r="I46" s="5" t="s">
        <v>882</v>
      </c>
      <c r="J46" s="6" t="s">
        <v>17</v>
      </c>
    </row>
    <row r="47" spans="1:10" x14ac:dyDescent="0.2">
      <c r="A47" s="4">
        <v>46</v>
      </c>
      <c r="B47" s="7" t="s">
        <v>998</v>
      </c>
      <c r="C47" s="4" t="s">
        <v>903</v>
      </c>
      <c r="D47" s="6" t="s">
        <v>904</v>
      </c>
      <c r="E47" s="6" t="s">
        <v>12</v>
      </c>
      <c r="F47" s="6" t="s">
        <v>28</v>
      </c>
      <c r="G47" s="6" t="s">
        <v>905</v>
      </c>
      <c r="H47" s="6" t="s">
        <v>899</v>
      </c>
      <c r="I47" s="5" t="s">
        <v>900</v>
      </c>
      <c r="J47" s="6" t="s">
        <v>17</v>
      </c>
    </row>
    <row r="48" spans="1:10" x14ac:dyDescent="0.2">
      <c r="A48" s="4">
        <v>47</v>
      </c>
      <c r="B48" s="7" t="s">
        <v>998</v>
      </c>
      <c r="C48" s="4" t="s">
        <v>920</v>
      </c>
      <c r="D48" s="6" t="s">
        <v>921</v>
      </c>
      <c r="E48" s="6" t="s">
        <v>12</v>
      </c>
      <c r="F48" s="6" t="s">
        <v>28</v>
      </c>
      <c r="G48" s="6" t="s">
        <v>922</v>
      </c>
      <c r="H48" s="6" t="s">
        <v>923</v>
      </c>
      <c r="I48" s="5" t="s">
        <v>924</v>
      </c>
      <c r="J48" s="6" t="s">
        <v>17</v>
      </c>
    </row>
    <row r="49" spans="1:10" x14ac:dyDescent="0.2">
      <c r="A49" s="4">
        <v>48</v>
      </c>
      <c r="B49" s="7" t="s">
        <v>998</v>
      </c>
      <c r="C49" s="4" t="s">
        <v>10</v>
      </c>
      <c r="D49" s="6" t="s">
        <v>33</v>
      </c>
      <c r="E49" s="6" t="s">
        <v>34</v>
      </c>
      <c r="F49" s="6" t="s">
        <v>35</v>
      </c>
      <c r="G49" s="6" t="s">
        <v>36</v>
      </c>
      <c r="H49" s="6" t="s">
        <v>37</v>
      </c>
      <c r="I49" s="5" t="s">
        <v>38</v>
      </c>
      <c r="J49" s="6" t="s">
        <v>17</v>
      </c>
    </row>
    <row r="50" spans="1:10" x14ac:dyDescent="0.2">
      <c r="A50" s="4">
        <v>49</v>
      </c>
      <c r="B50" s="7" t="s">
        <v>999</v>
      </c>
      <c r="C50" s="4" t="s">
        <v>10</v>
      </c>
      <c r="D50" s="6" t="s">
        <v>43</v>
      </c>
      <c r="E50" s="6" t="s">
        <v>34</v>
      </c>
      <c r="F50" s="6" t="s">
        <v>35</v>
      </c>
      <c r="G50" s="6" t="s">
        <v>44</v>
      </c>
      <c r="H50" s="6" t="s">
        <v>41</v>
      </c>
      <c r="I50" s="5" t="s">
        <v>42</v>
      </c>
      <c r="J50" s="6" t="s">
        <v>17</v>
      </c>
    </row>
    <row r="51" spans="1:10" x14ac:dyDescent="0.2">
      <c r="A51" s="4">
        <v>50</v>
      </c>
      <c r="B51" s="7" t="s">
        <v>999</v>
      </c>
      <c r="C51" s="4" t="s">
        <v>134</v>
      </c>
      <c r="D51" s="6" t="s">
        <v>135</v>
      </c>
      <c r="E51" s="6" t="s">
        <v>34</v>
      </c>
      <c r="F51" s="6" t="s">
        <v>35</v>
      </c>
      <c r="G51" s="6" t="s">
        <v>35</v>
      </c>
      <c r="H51" s="6" t="s">
        <v>136</v>
      </c>
      <c r="I51" s="5" t="s">
        <v>137</v>
      </c>
      <c r="J51" s="6" t="s">
        <v>17</v>
      </c>
    </row>
    <row r="52" spans="1:10" x14ac:dyDescent="0.2">
      <c r="A52" s="4">
        <v>51</v>
      </c>
      <c r="B52" s="7" t="s">
        <v>999</v>
      </c>
      <c r="C52" s="4" t="s">
        <v>190</v>
      </c>
      <c r="D52" s="6" t="s">
        <v>191</v>
      </c>
      <c r="E52" s="6" t="s">
        <v>34</v>
      </c>
      <c r="F52" s="6" t="s">
        <v>35</v>
      </c>
      <c r="G52" s="6" t="s">
        <v>192</v>
      </c>
      <c r="H52" s="6" t="s">
        <v>186</v>
      </c>
      <c r="I52" s="5" t="s">
        <v>187</v>
      </c>
      <c r="J52" s="6" t="s">
        <v>17</v>
      </c>
    </row>
    <row r="53" spans="1:10" x14ac:dyDescent="0.2">
      <c r="A53" s="4">
        <v>52</v>
      </c>
      <c r="B53" s="7" t="s">
        <v>999</v>
      </c>
      <c r="C53" s="4" t="s">
        <v>205</v>
      </c>
      <c r="D53" s="6" t="s">
        <v>206</v>
      </c>
      <c r="E53" s="6" t="s">
        <v>12</v>
      </c>
      <c r="F53" s="6" t="s">
        <v>35</v>
      </c>
      <c r="G53" s="6" t="s">
        <v>207</v>
      </c>
      <c r="H53" s="6" t="s">
        <v>208</v>
      </c>
      <c r="I53" s="5" t="s">
        <v>209</v>
      </c>
      <c r="J53" s="6" t="s">
        <v>17</v>
      </c>
    </row>
    <row r="54" spans="1:10" x14ac:dyDescent="0.2">
      <c r="A54" s="4">
        <v>53</v>
      </c>
      <c r="B54" s="7" t="s">
        <v>999</v>
      </c>
      <c r="C54" s="4" t="s">
        <v>222</v>
      </c>
      <c r="D54" s="6" t="s">
        <v>223</v>
      </c>
      <c r="E54" s="6" t="s">
        <v>12</v>
      </c>
      <c r="F54" s="6" t="s">
        <v>35</v>
      </c>
      <c r="G54" s="6" t="s">
        <v>224</v>
      </c>
      <c r="H54" s="6" t="s">
        <v>220</v>
      </c>
      <c r="I54" s="5" t="s">
        <v>221</v>
      </c>
      <c r="J54" s="6" t="s">
        <v>17</v>
      </c>
    </row>
    <row r="55" spans="1:10" x14ac:dyDescent="0.2">
      <c r="A55" s="4">
        <v>54</v>
      </c>
      <c r="B55" s="7" t="s">
        <v>999</v>
      </c>
      <c r="C55" s="4" t="s">
        <v>225</v>
      </c>
      <c r="D55" s="6" t="s">
        <v>226</v>
      </c>
      <c r="E55" s="6" t="s">
        <v>12</v>
      </c>
      <c r="F55" s="6" t="s">
        <v>35</v>
      </c>
      <c r="G55" s="6" t="s">
        <v>227</v>
      </c>
      <c r="H55" s="6" t="s">
        <v>228</v>
      </c>
      <c r="I55" s="5" t="s">
        <v>229</v>
      </c>
      <c r="J55" s="6" t="s">
        <v>17</v>
      </c>
    </row>
    <row r="56" spans="1:10" x14ac:dyDescent="0.2">
      <c r="A56" s="4">
        <v>55</v>
      </c>
      <c r="B56" s="7" t="s">
        <v>999</v>
      </c>
      <c r="C56" s="4" t="s">
        <v>240</v>
      </c>
      <c r="D56" s="6" t="s">
        <v>241</v>
      </c>
      <c r="E56" s="6" t="s">
        <v>12</v>
      </c>
      <c r="F56" s="6" t="s">
        <v>35</v>
      </c>
      <c r="G56" s="6" t="s">
        <v>242</v>
      </c>
      <c r="H56" s="6" t="s">
        <v>243</v>
      </c>
      <c r="I56" s="5" t="s">
        <v>244</v>
      </c>
      <c r="J56" s="6" t="s">
        <v>17</v>
      </c>
    </row>
    <row r="57" spans="1:10" x14ac:dyDescent="0.2">
      <c r="A57" s="4">
        <v>56</v>
      </c>
      <c r="B57" s="7" t="s">
        <v>999</v>
      </c>
      <c r="C57" s="4" t="s">
        <v>259</v>
      </c>
      <c r="D57" s="6" t="s">
        <v>260</v>
      </c>
      <c r="E57" s="6" t="s">
        <v>34</v>
      </c>
      <c r="F57" s="6" t="s">
        <v>35</v>
      </c>
      <c r="G57" s="6" t="s">
        <v>261</v>
      </c>
      <c r="H57" s="6" t="s">
        <v>262</v>
      </c>
      <c r="I57" s="5" t="s">
        <v>263</v>
      </c>
      <c r="J57" s="6" t="s">
        <v>17</v>
      </c>
    </row>
    <row r="58" spans="1:10" x14ac:dyDescent="0.2">
      <c r="A58" s="4">
        <v>57</v>
      </c>
      <c r="B58" s="7" t="s">
        <v>999</v>
      </c>
      <c r="C58" s="4" t="s">
        <v>368</v>
      </c>
      <c r="D58" s="6" t="s">
        <v>369</v>
      </c>
      <c r="E58" s="6" t="s">
        <v>12</v>
      </c>
      <c r="F58" s="6" t="s">
        <v>35</v>
      </c>
      <c r="G58" s="6" t="s">
        <v>370</v>
      </c>
      <c r="H58" s="6" t="s">
        <v>366</v>
      </c>
      <c r="I58" s="5" t="s">
        <v>367</v>
      </c>
      <c r="J58" s="6" t="s">
        <v>17</v>
      </c>
    </row>
    <row r="59" spans="1:10" x14ac:dyDescent="0.2">
      <c r="A59" s="4">
        <v>58</v>
      </c>
      <c r="B59" s="7" t="s">
        <v>999</v>
      </c>
      <c r="C59" s="4" t="s">
        <v>377</v>
      </c>
      <c r="D59" s="6" t="s">
        <v>378</v>
      </c>
      <c r="E59" s="6" t="s">
        <v>12</v>
      </c>
      <c r="F59" s="6" t="s">
        <v>35</v>
      </c>
      <c r="G59" s="6" t="s">
        <v>379</v>
      </c>
      <c r="H59" s="6" t="s">
        <v>380</v>
      </c>
      <c r="I59" s="5" t="s">
        <v>381</v>
      </c>
      <c r="J59" s="6" t="s">
        <v>17</v>
      </c>
    </row>
    <row r="60" spans="1:10" x14ac:dyDescent="0.2">
      <c r="A60" s="4">
        <v>59</v>
      </c>
      <c r="B60" s="7" t="s">
        <v>999</v>
      </c>
      <c r="C60" s="4" t="s">
        <v>388</v>
      </c>
      <c r="D60" s="6" t="s">
        <v>389</v>
      </c>
      <c r="E60" s="6" t="s">
        <v>34</v>
      </c>
      <c r="F60" s="6" t="s">
        <v>35</v>
      </c>
      <c r="G60" s="6" t="s">
        <v>390</v>
      </c>
      <c r="H60" s="6" t="s">
        <v>386</v>
      </c>
      <c r="I60" s="5" t="s">
        <v>387</v>
      </c>
      <c r="J60" s="6" t="s">
        <v>17</v>
      </c>
    </row>
    <row r="61" spans="1:10" x14ac:dyDescent="0.2">
      <c r="A61" s="4">
        <v>60</v>
      </c>
      <c r="B61" s="7" t="s">
        <v>999</v>
      </c>
      <c r="C61" s="4" t="s">
        <v>395</v>
      </c>
      <c r="D61" s="6" t="s">
        <v>396</v>
      </c>
      <c r="E61" s="6" t="s">
        <v>34</v>
      </c>
      <c r="F61" s="6" t="s">
        <v>35</v>
      </c>
      <c r="G61" s="6" t="s">
        <v>397</v>
      </c>
      <c r="H61" s="6" t="s">
        <v>393</v>
      </c>
      <c r="I61" s="5" t="s">
        <v>394</v>
      </c>
      <c r="J61" s="6" t="s">
        <v>17</v>
      </c>
    </row>
    <row r="62" spans="1:10" x14ac:dyDescent="0.2">
      <c r="A62" s="4">
        <v>61</v>
      </c>
      <c r="B62" s="7" t="s">
        <v>1000</v>
      </c>
      <c r="C62" s="4" t="s">
        <v>413</v>
      </c>
      <c r="D62" s="6" t="s">
        <v>414</v>
      </c>
      <c r="E62" s="6" t="s">
        <v>12</v>
      </c>
      <c r="F62" s="6" t="s">
        <v>35</v>
      </c>
      <c r="G62" s="6" t="s">
        <v>415</v>
      </c>
      <c r="H62" s="6" t="s">
        <v>411</v>
      </c>
      <c r="I62" s="5" t="s">
        <v>412</v>
      </c>
      <c r="J62" s="6" t="s">
        <v>17</v>
      </c>
    </row>
    <row r="63" spans="1:10" x14ac:dyDescent="0.2">
      <c r="A63" s="4">
        <v>62</v>
      </c>
      <c r="B63" s="7" t="s">
        <v>1000</v>
      </c>
      <c r="C63" s="4" t="s">
        <v>507</v>
      </c>
      <c r="D63" s="6" t="s">
        <v>508</v>
      </c>
      <c r="E63" s="6" t="s">
        <v>34</v>
      </c>
      <c r="F63" s="6" t="s">
        <v>35</v>
      </c>
      <c r="G63" s="6" t="s">
        <v>509</v>
      </c>
      <c r="H63" s="6" t="s">
        <v>505</v>
      </c>
      <c r="I63" s="5" t="s">
        <v>506</v>
      </c>
      <c r="J63" s="6" t="s">
        <v>17</v>
      </c>
    </row>
    <row r="64" spans="1:10" x14ac:dyDescent="0.2">
      <c r="A64" s="4">
        <v>63</v>
      </c>
      <c r="B64" s="7" t="s">
        <v>1000</v>
      </c>
      <c r="C64" s="4" t="s">
        <v>554</v>
      </c>
      <c r="D64" s="6" t="s">
        <v>555</v>
      </c>
      <c r="E64" s="6" t="s">
        <v>34</v>
      </c>
      <c r="F64" s="6" t="s">
        <v>35</v>
      </c>
      <c r="G64" s="6" t="s">
        <v>419</v>
      </c>
      <c r="H64" s="6" t="s">
        <v>556</v>
      </c>
      <c r="I64" s="5" t="s">
        <v>557</v>
      </c>
      <c r="J64" s="6" t="s">
        <v>558</v>
      </c>
    </row>
    <row r="65" spans="1:10" x14ac:dyDescent="0.2">
      <c r="A65" s="4">
        <v>64</v>
      </c>
      <c r="B65" s="7" t="s">
        <v>1000</v>
      </c>
      <c r="C65" s="4" t="s">
        <v>568</v>
      </c>
      <c r="D65" s="6" t="s">
        <v>569</v>
      </c>
      <c r="E65" s="6" t="s">
        <v>12</v>
      </c>
      <c r="F65" s="6" t="s">
        <v>35</v>
      </c>
      <c r="G65" s="6" t="s">
        <v>207</v>
      </c>
      <c r="H65" s="6" t="s">
        <v>566</v>
      </c>
      <c r="I65" s="5" t="s">
        <v>567</v>
      </c>
      <c r="J65" s="6" t="s">
        <v>17</v>
      </c>
    </row>
    <row r="66" spans="1:10" x14ac:dyDescent="0.2">
      <c r="A66" s="4">
        <v>65</v>
      </c>
      <c r="B66" s="7" t="s">
        <v>1000</v>
      </c>
      <c r="C66" s="4" t="s">
        <v>578</v>
      </c>
      <c r="D66" s="6" t="s">
        <v>579</v>
      </c>
      <c r="E66" s="6" t="s">
        <v>34</v>
      </c>
      <c r="F66" s="6" t="s">
        <v>35</v>
      </c>
      <c r="G66" s="6" t="s">
        <v>521</v>
      </c>
      <c r="H66" s="6" t="s">
        <v>576</v>
      </c>
      <c r="I66" s="5" t="s">
        <v>577</v>
      </c>
      <c r="J66" s="6" t="s">
        <v>17</v>
      </c>
    </row>
    <row r="67" spans="1:10" x14ac:dyDescent="0.2">
      <c r="A67" s="4">
        <v>66</v>
      </c>
      <c r="B67" s="7" t="s">
        <v>1000</v>
      </c>
      <c r="C67" s="4" t="s">
        <v>584</v>
      </c>
      <c r="D67" s="6" t="s">
        <v>585</v>
      </c>
      <c r="E67" s="6" t="s">
        <v>12</v>
      </c>
      <c r="F67" s="6" t="s">
        <v>35</v>
      </c>
      <c r="G67" s="6" t="s">
        <v>586</v>
      </c>
      <c r="H67" s="6" t="s">
        <v>587</v>
      </c>
      <c r="I67" s="5" t="s">
        <v>588</v>
      </c>
      <c r="J67" s="6" t="s">
        <v>17</v>
      </c>
    </row>
    <row r="68" spans="1:10" x14ac:dyDescent="0.2">
      <c r="A68" s="4">
        <v>67</v>
      </c>
      <c r="B68" s="7" t="s">
        <v>1000</v>
      </c>
      <c r="C68" s="4" t="s">
        <v>620</v>
      </c>
      <c r="D68" s="6" t="s">
        <v>621</v>
      </c>
      <c r="E68" s="6" t="s">
        <v>34</v>
      </c>
      <c r="F68" s="6" t="s">
        <v>35</v>
      </c>
      <c r="G68" s="6" t="s">
        <v>622</v>
      </c>
      <c r="H68" s="6" t="s">
        <v>17</v>
      </c>
      <c r="I68" s="5" t="s">
        <v>619</v>
      </c>
      <c r="J68" s="6" t="s">
        <v>17</v>
      </c>
    </row>
    <row r="69" spans="1:10" x14ac:dyDescent="0.2">
      <c r="A69" s="4">
        <v>68</v>
      </c>
      <c r="B69" s="7" t="s">
        <v>1000</v>
      </c>
      <c r="C69" s="4" t="s">
        <v>626</v>
      </c>
      <c r="D69" s="6" t="s">
        <v>627</v>
      </c>
      <c r="E69" s="6" t="s">
        <v>34</v>
      </c>
      <c r="F69" s="6" t="s">
        <v>35</v>
      </c>
      <c r="G69" s="6" t="s">
        <v>628</v>
      </c>
      <c r="H69" s="6" t="s">
        <v>629</v>
      </c>
      <c r="I69" s="5" t="s">
        <v>630</v>
      </c>
      <c r="J69" s="6" t="s">
        <v>17</v>
      </c>
    </row>
    <row r="70" spans="1:10" x14ac:dyDescent="0.2">
      <c r="A70" s="4">
        <v>69</v>
      </c>
      <c r="B70" s="7" t="s">
        <v>1000</v>
      </c>
      <c r="C70" s="4" t="s">
        <v>674</v>
      </c>
      <c r="D70" s="6" t="s">
        <v>675</v>
      </c>
      <c r="E70" s="6" t="s">
        <v>34</v>
      </c>
      <c r="F70" s="6" t="s">
        <v>35</v>
      </c>
      <c r="G70" s="6" t="s">
        <v>676</v>
      </c>
      <c r="H70" s="6" t="s">
        <v>677</v>
      </c>
      <c r="I70" s="5" t="s">
        <v>678</v>
      </c>
      <c r="J70" s="6" t="s">
        <v>17</v>
      </c>
    </row>
    <row r="71" spans="1:10" x14ac:dyDescent="0.2">
      <c r="A71" s="4">
        <v>70</v>
      </c>
      <c r="B71" s="7" t="s">
        <v>1000</v>
      </c>
      <c r="C71" s="4" t="s">
        <v>684</v>
      </c>
      <c r="D71" s="6" t="s">
        <v>685</v>
      </c>
      <c r="E71" s="6" t="s">
        <v>34</v>
      </c>
      <c r="F71" s="6" t="s">
        <v>35</v>
      </c>
      <c r="G71" s="6" t="s">
        <v>686</v>
      </c>
      <c r="H71" s="6" t="s">
        <v>687</v>
      </c>
      <c r="I71" s="5" t="s">
        <v>688</v>
      </c>
      <c r="J71" s="6" t="s">
        <v>17</v>
      </c>
    </row>
    <row r="72" spans="1:10" x14ac:dyDescent="0.2">
      <c r="A72" s="4">
        <v>71</v>
      </c>
      <c r="B72" s="7" t="s">
        <v>1000</v>
      </c>
      <c r="C72" s="4" t="s">
        <v>712</v>
      </c>
      <c r="D72" s="6" t="s">
        <v>713</v>
      </c>
      <c r="E72" s="6" t="s">
        <v>12</v>
      </c>
      <c r="F72" s="6" t="s">
        <v>35</v>
      </c>
      <c r="G72" s="6" t="s">
        <v>419</v>
      </c>
      <c r="H72" s="6" t="s">
        <v>714</v>
      </c>
      <c r="I72" s="5" t="s">
        <v>715</v>
      </c>
      <c r="J72" s="6" t="s">
        <v>17</v>
      </c>
    </row>
    <row r="73" spans="1:10" x14ac:dyDescent="0.2">
      <c r="A73" s="4">
        <v>72</v>
      </c>
      <c r="B73" s="7" t="s">
        <v>1000</v>
      </c>
      <c r="C73" s="4" t="s">
        <v>775</v>
      </c>
      <c r="D73" s="6" t="s">
        <v>776</v>
      </c>
      <c r="E73" s="6" t="s">
        <v>12</v>
      </c>
      <c r="F73" s="6" t="s">
        <v>35</v>
      </c>
      <c r="G73" s="6" t="s">
        <v>456</v>
      </c>
      <c r="H73" s="6" t="s">
        <v>773</v>
      </c>
      <c r="I73" s="5" t="s">
        <v>774</v>
      </c>
      <c r="J73" s="6" t="s">
        <v>17</v>
      </c>
    </row>
    <row r="74" spans="1:10" x14ac:dyDescent="0.2">
      <c r="A74" s="4">
        <v>73</v>
      </c>
      <c r="B74" s="7" t="s">
        <v>1001</v>
      </c>
      <c r="C74" s="4" t="s">
        <v>821</v>
      </c>
      <c r="D74" s="6" t="s">
        <v>822</v>
      </c>
      <c r="E74" s="6" t="s">
        <v>34</v>
      </c>
      <c r="F74" s="6" t="s">
        <v>35</v>
      </c>
      <c r="G74" s="6" t="s">
        <v>823</v>
      </c>
      <c r="H74" s="6" t="s">
        <v>824</v>
      </c>
      <c r="I74" s="5" t="s">
        <v>825</v>
      </c>
      <c r="J74" s="6" t="s">
        <v>17</v>
      </c>
    </row>
    <row r="75" spans="1:10" x14ac:dyDescent="0.2">
      <c r="A75" s="4">
        <v>74</v>
      </c>
      <c r="B75" s="7" t="s">
        <v>1001</v>
      </c>
      <c r="C75" s="4" t="s">
        <v>873</v>
      </c>
      <c r="D75" s="6" t="s">
        <v>874</v>
      </c>
      <c r="E75" s="6" t="s">
        <v>34</v>
      </c>
      <c r="F75" s="6" t="s">
        <v>35</v>
      </c>
      <c r="G75" s="6" t="s">
        <v>875</v>
      </c>
      <c r="H75" s="6" t="s">
        <v>876</v>
      </c>
      <c r="I75" s="5" t="s">
        <v>877</v>
      </c>
      <c r="J75" s="6" t="s">
        <v>17</v>
      </c>
    </row>
    <row r="76" spans="1:10" x14ac:dyDescent="0.2">
      <c r="A76" s="4">
        <v>75</v>
      </c>
      <c r="B76" s="7" t="s">
        <v>1001</v>
      </c>
      <c r="C76" s="4" t="s">
        <v>906</v>
      </c>
      <c r="D76" s="6" t="s">
        <v>907</v>
      </c>
      <c r="E76" s="6" t="s">
        <v>34</v>
      </c>
      <c r="F76" s="6" t="s">
        <v>35</v>
      </c>
      <c r="G76" s="6" t="s">
        <v>908</v>
      </c>
      <c r="H76" s="6" t="s">
        <v>909</v>
      </c>
      <c r="I76" s="5" t="s">
        <v>910</v>
      </c>
      <c r="J76" s="6" t="s">
        <v>17</v>
      </c>
    </row>
    <row r="77" spans="1:10" x14ac:dyDescent="0.2">
      <c r="A77" s="4">
        <v>76</v>
      </c>
      <c r="B77" s="7" t="s">
        <v>1001</v>
      </c>
      <c r="C77" s="4" t="s">
        <v>911</v>
      </c>
      <c r="D77" s="6" t="s">
        <v>912</v>
      </c>
      <c r="E77" s="6" t="s">
        <v>34</v>
      </c>
      <c r="F77" s="6" t="s">
        <v>35</v>
      </c>
      <c r="G77" s="6" t="s">
        <v>913</v>
      </c>
      <c r="H77" s="6" t="s">
        <v>914</v>
      </c>
      <c r="I77" s="5" t="s">
        <v>915</v>
      </c>
      <c r="J77" s="6" t="s">
        <v>17</v>
      </c>
    </row>
    <row r="78" spans="1:10" x14ac:dyDescent="0.2">
      <c r="A78" s="4">
        <v>77</v>
      </c>
      <c r="B78" s="7" t="s">
        <v>1001</v>
      </c>
      <c r="C78" s="4" t="s">
        <v>946</v>
      </c>
      <c r="D78" s="6" t="s">
        <v>947</v>
      </c>
      <c r="E78" s="6" t="s">
        <v>34</v>
      </c>
      <c r="F78" s="6" t="s">
        <v>35</v>
      </c>
      <c r="G78" s="6" t="s">
        <v>106</v>
      </c>
      <c r="H78" s="6" t="s">
        <v>948</v>
      </c>
      <c r="I78" s="5" t="s">
        <v>949</v>
      </c>
      <c r="J78" s="6" t="s">
        <v>17</v>
      </c>
    </row>
    <row r="79" spans="1:10" x14ac:dyDescent="0.2">
      <c r="A79" s="4">
        <v>78</v>
      </c>
      <c r="B79" s="7" t="s">
        <v>1001</v>
      </c>
      <c r="C79" s="4" t="s">
        <v>966</v>
      </c>
      <c r="D79" s="6" t="s">
        <v>967</v>
      </c>
      <c r="E79" s="6" t="s">
        <v>12</v>
      </c>
      <c r="F79" s="6" t="s">
        <v>35</v>
      </c>
      <c r="G79" s="6" t="s">
        <v>370</v>
      </c>
      <c r="H79" s="6" t="s">
        <v>968</v>
      </c>
      <c r="I79" s="5" t="s">
        <v>969</v>
      </c>
      <c r="J79" s="6" t="s">
        <v>17</v>
      </c>
    </row>
    <row r="80" spans="1:10" x14ac:dyDescent="0.2">
      <c r="A80" s="4">
        <v>79</v>
      </c>
      <c r="B80" s="7" t="s">
        <v>1001</v>
      </c>
      <c r="C80" s="4" t="s">
        <v>978</v>
      </c>
      <c r="D80" s="6" t="s">
        <v>979</v>
      </c>
      <c r="E80" s="6" t="s">
        <v>12</v>
      </c>
      <c r="F80" s="6" t="s">
        <v>35</v>
      </c>
      <c r="G80" s="6" t="s">
        <v>980</v>
      </c>
      <c r="H80" s="6" t="s">
        <v>981</v>
      </c>
      <c r="I80" s="5" t="s">
        <v>982</v>
      </c>
      <c r="J80" s="6" t="s">
        <v>17</v>
      </c>
    </row>
    <row r="81" spans="1:10" x14ac:dyDescent="0.2">
      <c r="A81" s="4">
        <v>80</v>
      </c>
      <c r="B81" s="7" t="s">
        <v>1001</v>
      </c>
      <c r="C81" s="4" t="s">
        <v>989</v>
      </c>
      <c r="D81" s="6" t="s">
        <v>990</v>
      </c>
      <c r="E81" s="6" t="s">
        <v>12</v>
      </c>
      <c r="F81" s="6" t="s">
        <v>35</v>
      </c>
      <c r="G81" s="6" t="s">
        <v>991</v>
      </c>
      <c r="H81" s="6" t="s">
        <v>992</v>
      </c>
      <c r="I81" s="5" t="s">
        <v>993</v>
      </c>
      <c r="J81" s="6" t="s">
        <v>17</v>
      </c>
    </row>
  </sheetData>
  <phoneticPr fontId="2" type="noConversion"/>
  <pageMargins left="0.7" right="0.7" top="0.75" bottom="0.75" header="0.3" footer="0.3"/>
  <pageSetup paperSize="9" orientation="portrait" horizontalDpi="0" verticalDpi="0"/>
  <ignoredErrors>
    <ignoredError sqref="A1:J1 A75:A81 A2 C2:J2 A3:A13 C3:J13 A14 C14:J14 A15:A25 C15:J25 A26 C26:J26 A27:A37 C27:J37 A38:A49 C38:J49 A50 C50:J50 A51:A61 C51:J61 A62 C62:J62 A63:A73 C63:J73 A74 C74:J74 C75:J8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tabSelected="1" workbookViewId="0">
      <selection activeCell="H15" sqref="H15"/>
    </sheetView>
  </sheetViews>
  <sheetFormatPr baseColWidth="10" defaultRowHeight="15" x14ac:dyDescent="0.2"/>
  <cols>
    <col min="1" max="2" width="6.83203125" customWidth="1"/>
    <col min="3" max="3" width="10.83203125" customWidth="1"/>
    <col min="4" max="4" width="15.83203125" customWidth="1"/>
    <col min="5" max="5" width="6.83203125" customWidth="1"/>
    <col min="6" max="6" width="8.83203125" customWidth="1"/>
    <col min="7" max="7" width="16.83203125" customWidth="1"/>
    <col min="8" max="8" width="25.83203125" customWidth="1"/>
    <col min="9" max="9" width="15.83203125" customWidth="1"/>
    <col min="10" max="10" width="6.83203125" customWidth="1"/>
  </cols>
  <sheetData>
    <row r="1" spans="1:10" x14ac:dyDescent="0.2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2">
      <c r="A2" s="4">
        <v>1</v>
      </c>
      <c r="B2" s="7" t="s">
        <v>1002</v>
      </c>
      <c r="C2" s="4" t="s">
        <v>10</v>
      </c>
      <c r="D2" s="6" t="s">
        <v>18</v>
      </c>
      <c r="E2" s="6" t="s">
        <v>12</v>
      </c>
      <c r="F2" s="6" t="s">
        <v>19</v>
      </c>
      <c r="G2" s="6" t="s">
        <v>20</v>
      </c>
      <c r="H2" s="6" t="s">
        <v>21</v>
      </c>
      <c r="I2" s="5" t="s">
        <v>22</v>
      </c>
      <c r="J2" s="6" t="s">
        <v>17</v>
      </c>
    </row>
    <row r="3" spans="1:10" x14ac:dyDescent="0.2">
      <c r="A3" s="4">
        <v>2</v>
      </c>
      <c r="B3" s="7" t="s">
        <v>1002</v>
      </c>
      <c r="C3" s="4" t="s">
        <v>10</v>
      </c>
      <c r="D3" s="6" t="s">
        <v>23</v>
      </c>
      <c r="E3" s="6" t="s">
        <v>12</v>
      </c>
      <c r="F3" s="6" t="s">
        <v>19</v>
      </c>
      <c r="G3" s="6" t="s">
        <v>24</v>
      </c>
      <c r="H3" s="6" t="s">
        <v>25</v>
      </c>
      <c r="I3" s="5" t="s">
        <v>26</v>
      </c>
      <c r="J3" s="6" t="s">
        <v>17</v>
      </c>
    </row>
    <row r="4" spans="1:10" x14ac:dyDescent="0.2">
      <c r="A4" s="4">
        <v>3</v>
      </c>
      <c r="B4" s="7" t="s">
        <v>1002</v>
      </c>
      <c r="C4" s="4" t="s">
        <v>10</v>
      </c>
      <c r="D4" s="6" t="s">
        <v>39</v>
      </c>
      <c r="E4" s="6" t="s">
        <v>12</v>
      </c>
      <c r="F4" s="6" t="s">
        <v>19</v>
      </c>
      <c r="G4" s="6" t="s">
        <v>40</v>
      </c>
      <c r="H4" s="6" t="s">
        <v>41</v>
      </c>
      <c r="I4" s="5" t="s">
        <v>42</v>
      </c>
      <c r="J4" s="6" t="s">
        <v>17</v>
      </c>
    </row>
    <row r="5" spans="1:10" x14ac:dyDescent="0.2">
      <c r="A5" s="4">
        <v>4</v>
      </c>
      <c r="B5" s="7" t="s">
        <v>1002</v>
      </c>
      <c r="C5" s="4" t="s">
        <v>10</v>
      </c>
      <c r="D5" s="6" t="s">
        <v>50</v>
      </c>
      <c r="E5" s="6" t="s">
        <v>12</v>
      </c>
      <c r="F5" s="6" t="s">
        <v>19</v>
      </c>
      <c r="G5" s="6" t="s">
        <v>51</v>
      </c>
      <c r="H5" s="6" t="s">
        <v>52</v>
      </c>
      <c r="I5" s="5" t="s">
        <v>53</v>
      </c>
      <c r="J5" s="6" t="s">
        <v>17</v>
      </c>
    </row>
    <row r="6" spans="1:10" x14ac:dyDescent="0.2">
      <c r="A6" s="4">
        <v>5</v>
      </c>
      <c r="B6" s="7" t="s">
        <v>1002</v>
      </c>
      <c r="C6" s="4" t="s">
        <v>10</v>
      </c>
      <c r="D6" s="6" t="s">
        <v>113</v>
      </c>
      <c r="E6" s="6" t="s">
        <v>12</v>
      </c>
      <c r="F6" s="6" t="s">
        <v>19</v>
      </c>
      <c r="G6" s="6" t="s">
        <v>110</v>
      </c>
      <c r="H6" s="6" t="s">
        <v>111</v>
      </c>
      <c r="I6" s="5" t="s">
        <v>112</v>
      </c>
      <c r="J6" s="6" t="s">
        <v>17</v>
      </c>
    </row>
    <row r="7" spans="1:10" x14ac:dyDescent="0.2">
      <c r="A7" s="4">
        <v>6</v>
      </c>
      <c r="B7" s="7" t="s">
        <v>1002</v>
      </c>
      <c r="C7" s="4" t="s">
        <v>10</v>
      </c>
      <c r="D7" s="6" t="s">
        <v>126</v>
      </c>
      <c r="E7" s="6" t="s">
        <v>12</v>
      </c>
      <c r="F7" s="6" t="s">
        <v>19</v>
      </c>
      <c r="G7" s="6" t="s">
        <v>127</v>
      </c>
      <c r="H7" s="6" t="s">
        <v>124</v>
      </c>
      <c r="I7" s="5" t="s">
        <v>125</v>
      </c>
      <c r="J7" s="6" t="s">
        <v>17</v>
      </c>
    </row>
    <row r="8" spans="1:10" x14ac:dyDescent="0.2">
      <c r="A8" s="4">
        <v>7</v>
      </c>
      <c r="B8" s="7" t="s">
        <v>1002</v>
      </c>
      <c r="C8" s="4" t="s">
        <v>160</v>
      </c>
      <c r="D8" s="6" t="s">
        <v>161</v>
      </c>
      <c r="E8" s="6" t="s">
        <v>34</v>
      </c>
      <c r="F8" s="6" t="s">
        <v>19</v>
      </c>
      <c r="G8" s="6" t="s">
        <v>157</v>
      </c>
      <c r="H8" s="6" t="s">
        <v>158</v>
      </c>
      <c r="I8" s="5" t="s">
        <v>159</v>
      </c>
      <c r="J8" s="6" t="s">
        <v>17</v>
      </c>
    </row>
    <row r="9" spans="1:10" x14ac:dyDescent="0.2">
      <c r="A9" s="4">
        <v>8</v>
      </c>
      <c r="B9" s="7" t="s">
        <v>1002</v>
      </c>
      <c r="C9" s="4" t="s">
        <v>162</v>
      </c>
      <c r="D9" s="6" t="s">
        <v>163</v>
      </c>
      <c r="E9" s="6" t="s">
        <v>34</v>
      </c>
      <c r="F9" s="6" t="s">
        <v>19</v>
      </c>
      <c r="G9" s="6" t="s">
        <v>47</v>
      </c>
      <c r="H9" s="6" t="s">
        <v>164</v>
      </c>
      <c r="I9" s="5" t="s">
        <v>165</v>
      </c>
      <c r="J9" s="6" t="s">
        <v>17</v>
      </c>
    </row>
    <row r="10" spans="1:10" x14ac:dyDescent="0.2">
      <c r="A10" s="4">
        <v>9</v>
      </c>
      <c r="B10" s="7" t="s">
        <v>1002</v>
      </c>
      <c r="C10" s="4" t="s">
        <v>295</v>
      </c>
      <c r="D10" s="6" t="s">
        <v>296</v>
      </c>
      <c r="E10" s="6" t="s">
        <v>34</v>
      </c>
      <c r="F10" s="6" t="s">
        <v>19</v>
      </c>
      <c r="G10" s="6" t="s">
        <v>297</v>
      </c>
      <c r="H10" s="6" t="s">
        <v>292</v>
      </c>
      <c r="I10" s="5" t="s">
        <v>293</v>
      </c>
      <c r="J10" s="6" t="s">
        <v>17</v>
      </c>
    </row>
    <row r="11" spans="1:10" x14ac:dyDescent="0.2">
      <c r="A11" s="4">
        <v>10</v>
      </c>
      <c r="B11" s="7" t="s">
        <v>1002</v>
      </c>
      <c r="C11" s="4" t="s">
        <v>311</v>
      </c>
      <c r="D11" s="6" t="s">
        <v>312</v>
      </c>
      <c r="E11" s="6" t="s">
        <v>34</v>
      </c>
      <c r="F11" s="6" t="s">
        <v>19</v>
      </c>
      <c r="G11" s="6" t="s">
        <v>176</v>
      </c>
      <c r="H11" s="6" t="s">
        <v>313</v>
      </c>
      <c r="I11" s="5" t="s">
        <v>314</v>
      </c>
      <c r="J11" s="6" t="s">
        <v>17</v>
      </c>
    </row>
    <row r="12" spans="1:10" x14ac:dyDescent="0.2">
      <c r="A12" s="4">
        <v>11</v>
      </c>
      <c r="B12" s="7" t="s">
        <v>1002</v>
      </c>
      <c r="C12" s="4" t="s">
        <v>333</v>
      </c>
      <c r="D12" s="6" t="s">
        <v>334</v>
      </c>
      <c r="E12" s="6" t="s">
        <v>34</v>
      </c>
      <c r="F12" s="6" t="s">
        <v>19</v>
      </c>
      <c r="G12" s="6" t="s">
        <v>157</v>
      </c>
      <c r="H12" s="6" t="s">
        <v>335</v>
      </c>
      <c r="I12" s="5" t="s">
        <v>336</v>
      </c>
      <c r="J12" s="6" t="s">
        <v>17</v>
      </c>
    </row>
    <row r="13" spans="1:10" x14ac:dyDescent="0.2">
      <c r="A13" s="4">
        <v>12</v>
      </c>
      <c r="B13" s="7" t="s">
        <v>1002</v>
      </c>
      <c r="C13" s="4" t="s">
        <v>352</v>
      </c>
      <c r="D13" s="6" t="s">
        <v>353</v>
      </c>
      <c r="E13" s="6" t="s">
        <v>12</v>
      </c>
      <c r="F13" s="6" t="s">
        <v>19</v>
      </c>
      <c r="G13" s="6" t="s">
        <v>157</v>
      </c>
      <c r="H13" s="6" t="s">
        <v>354</v>
      </c>
      <c r="I13" s="5" t="s">
        <v>355</v>
      </c>
      <c r="J13" s="6" t="s">
        <v>17</v>
      </c>
    </row>
    <row r="14" spans="1:10" x14ac:dyDescent="0.2">
      <c r="A14" s="4">
        <v>13</v>
      </c>
      <c r="B14" s="7" t="s">
        <v>1003</v>
      </c>
      <c r="C14" s="4" t="s">
        <v>427</v>
      </c>
      <c r="D14" s="6" t="s">
        <v>428</v>
      </c>
      <c r="E14" s="6" t="s">
        <v>12</v>
      </c>
      <c r="F14" s="6" t="s">
        <v>19</v>
      </c>
      <c r="G14" s="6" t="s">
        <v>429</v>
      </c>
      <c r="H14" s="6" t="s">
        <v>430</v>
      </c>
      <c r="I14" s="5" t="s">
        <v>431</v>
      </c>
      <c r="J14" s="6" t="s">
        <v>17</v>
      </c>
    </row>
    <row r="15" spans="1:10" x14ac:dyDescent="0.2">
      <c r="A15" s="4">
        <v>14</v>
      </c>
      <c r="B15" s="7" t="s">
        <v>1003</v>
      </c>
      <c r="C15" s="4" t="s">
        <v>440</v>
      </c>
      <c r="D15" s="6" t="s">
        <v>441</v>
      </c>
      <c r="E15" s="6" t="s">
        <v>12</v>
      </c>
      <c r="F15" s="6" t="s">
        <v>19</v>
      </c>
      <c r="G15" s="6" t="s">
        <v>442</v>
      </c>
      <c r="H15" s="6" t="s">
        <v>443</v>
      </c>
      <c r="I15" s="5" t="s">
        <v>444</v>
      </c>
      <c r="J15" s="6" t="s">
        <v>17</v>
      </c>
    </row>
    <row r="16" spans="1:10" x14ac:dyDescent="0.2">
      <c r="A16" s="4">
        <v>15</v>
      </c>
      <c r="B16" s="7" t="s">
        <v>1003</v>
      </c>
      <c r="C16" s="4" t="s">
        <v>445</v>
      </c>
      <c r="D16" s="6" t="s">
        <v>446</v>
      </c>
      <c r="E16" s="6" t="s">
        <v>34</v>
      </c>
      <c r="F16" s="6" t="s">
        <v>19</v>
      </c>
      <c r="G16" s="6" t="s">
        <v>447</v>
      </c>
      <c r="H16" s="6" t="s">
        <v>448</v>
      </c>
      <c r="I16" s="5" t="s">
        <v>449</v>
      </c>
      <c r="J16" s="6" t="s">
        <v>17</v>
      </c>
    </row>
    <row r="17" spans="1:10" x14ac:dyDescent="0.2">
      <c r="A17" s="4">
        <v>16</v>
      </c>
      <c r="B17" s="7" t="s">
        <v>1003</v>
      </c>
      <c r="C17" s="4" t="s">
        <v>450</v>
      </c>
      <c r="D17" s="6" t="s">
        <v>451</v>
      </c>
      <c r="E17" s="6" t="s">
        <v>34</v>
      </c>
      <c r="F17" s="6" t="s">
        <v>19</v>
      </c>
      <c r="G17" s="6" t="s">
        <v>131</v>
      </c>
      <c r="H17" s="6" t="s">
        <v>452</v>
      </c>
      <c r="I17" s="5" t="s">
        <v>453</v>
      </c>
      <c r="J17" s="6" t="s">
        <v>17</v>
      </c>
    </row>
    <row r="18" spans="1:10" x14ac:dyDescent="0.2">
      <c r="A18" s="4">
        <v>17</v>
      </c>
      <c r="B18" s="7" t="s">
        <v>1003</v>
      </c>
      <c r="C18" s="4" t="s">
        <v>469</v>
      </c>
      <c r="D18" s="6" t="s">
        <v>470</v>
      </c>
      <c r="E18" s="6" t="s">
        <v>34</v>
      </c>
      <c r="F18" s="6" t="s">
        <v>19</v>
      </c>
      <c r="G18" s="6" t="s">
        <v>131</v>
      </c>
      <c r="H18" s="6" t="s">
        <v>467</v>
      </c>
      <c r="I18" s="5" t="s">
        <v>468</v>
      </c>
      <c r="J18" s="6" t="s">
        <v>17</v>
      </c>
    </row>
    <row r="19" spans="1:10" x14ac:dyDescent="0.2">
      <c r="A19" s="4">
        <v>18</v>
      </c>
      <c r="B19" s="7" t="s">
        <v>1003</v>
      </c>
      <c r="C19" s="4" t="s">
        <v>478</v>
      </c>
      <c r="D19" s="6" t="s">
        <v>479</v>
      </c>
      <c r="E19" s="6" t="s">
        <v>34</v>
      </c>
      <c r="F19" s="6" t="s">
        <v>19</v>
      </c>
      <c r="G19" s="6" t="s">
        <v>157</v>
      </c>
      <c r="H19" s="6" t="s">
        <v>480</v>
      </c>
      <c r="I19" s="5" t="s">
        <v>481</v>
      </c>
      <c r="J19" s="6" t="s">
        <v>17</v>
      </c>
    </row>
    <row r="20" spans="1:10" x14ac:dyDescent="0.2">
      <c r="A20" s="4">
        <v>19</v>
      </c>
      <c r="B20" s="7" t="s">
        <v>1003</v>
      </c>
      <c r="C20" s="4" t="s">
        <v>495</v>
      </c>
      <c r="D20" s="6" t="s">
        <v>496</v>
      </c>
      <c r="E20" s="6" t="s">
        <v>34</v>
      </c>
      <c r="F20" s="6" t="s">
        <v>19</v>
      </c>
      <c r="G20" s="6" t="s">
        <v>492</v>
      </c>
      <c r="H20" s="6" t="s">
        <v>493</v>
      </c>
      <c r="I20" s="5" t="s">
        <v>494</v>
      </c>
      <c r="J20" s="6" t="s">
        <v>17</v>
      </c>
    </row>
    <row r="21" spans="1:10" x14ac:dyDescent="0.2">
      <c r="A21" s="4">
        <v>20</v>
      </c>
      <c r="B21" s="7" t="s">
        <v>1003</v>
      </c>
      <c r="C21" s="4" t="s">
        <v>524</v>
      </c>
      <c r="D21" s="6" t="s">
        <v>525</v>
      </c>
      <c r="E21" s="6" t="s">
        <v>34</v>
      </c>
      <c r="F21" s="6" t="s">
        <v>19</v>
      </c>
      <c r="G21" s="6" t="s">
        <v>20</v>
      </c>
      <c r="H21" s="6" t="s">
        <v>526</v>
      </c>
      <c r="I21" s="5" t="s">
        <v>527</v>
      </c>
      <c r="J21" s="6" t="s">
        <v>17</v>
      </c>
    </row>
    <row r="22" spans="1:10" x14ac:dyDescent="0.2">
      <c r="A22" s="4">
        <v>21</v>
      </c>
      <c r="B22" s="7" t="s">
        <v>1003</v>
      </c>
      <c r="C22" s="4" t="s">
        <v>593</v>
      </c>
      <c r="D22" s="6" t="s">
        <v>594</v>
      </c>
      <c r="E22" s="6" t="s">
        <v>12</v>
      </c>
      <c r="F22" s="6" t="s">
        <v>19</v>
      </c>
      <c r="G22" s="6" t="s">
        <v>131</v>
      </c>
      <c r="H22" s="6" t="s">
        <v>595</v>
      </c>
      <c r="I22" s="5" t="s">
        <v>596</v>
      </c>
      <c r="J22" s="6" t="s">
        <v>17</v>
      </c>
    </row>
    <row r="23" spans="1:10" x14ac:dyDescent="0.2">
      <c r="A23" s="4">
        <v>22</v>
      </c>
      <c r="B23" s="7" t="s">
        <v>1003</v>
      </c>
      <c r="C23" s="4" t="s">
        <v>597</v>
      </c>
      <c r="D23" s="6" t="s">
        <v>598</v>
      </c>
      <c r="E23" s="6" t="s">
        <v>34</v>
      </c>
      <c r="F23" s="6" t="s">
        <v>19</v>
      </c>
      <c r="G23" s="6" t="s">
        <v>297</v>
      </c>
      <c r="H23" s="6" t="s">
        <v>599</v>
      </c>
      <c r="I23" s="5" t="s">
        <v>600</v>
      </c>
      <c r="J23" s="6" t="s">
        <v>17</v>
      </c>
    </row>
    <row r="24" spans="1:10" x14ac:dyDescent="0.2">
      <c r="A24" s="4">
        <v>23</v>
      </c>
      <c r="B24" s="7" t="s">
        <v>1003</v>
      </c>
      <c r="C24" s="4" t="s">
        <v>605</v>
      </c>
      <c r="D24" s="6" t="s">
        <v>606</v>
      </c>
      <c r="E24" s="6" t="s">
        <v>34</v>
      </c>
      <c r="F24" s="6" t="s">
        <v>19</v>
      </c>
      <c r="G24" s="6" t="s">
        <v>607</v>
      </c>
      <c r="H24" s="6" t="s">
        <v>608</v>
      </c>
      <c r="I24" s="5" t="s">
        <v>609</v>
      </c>
      <c r="J24" s="6" t="s">
        <v>17</v>
      </c>
    </row>
    <row r="25" spans="1:10" x14ac:dyDescent="0.2">
      <c r="A25" s="4">
        <v>24</v>
      </c>
      <c r="B25" s="7" t="s">
        <v>1003</v>
      </c>
      <c r="C25" s="4" t="s">
        <v>642</v>
      </c>
      <c r="D25" s="6" t="s">
        <v>643</v>
      </c>
      <c r="E25" s="6" t="s">
        <v>34</v>
      </c>
      <c r="F25" s="6" t="s">
        <v>19</v>
      </c>
      <c r="G25" s="6" t="s">
        <v>644</v>
      </c>
      <c r="H25" s="6" t="s">
        <v>645</v>
      </c>
      <c r="I25" s="5" t="s">
        <v>646</v>
      </c>
      <c r="J25" s="6" t="s">
        <v>17</v>
      </c>
    </row>
    <row r="26" spans="1:10" x14ac:dyDescent="0.2">
      <c r="A26" s="4">
        <v>25</v>
      </c>
      <c r="B26" s="7" t="s">
        <v>1004</v>
      </c>
      <c r="C26" s="4" t="s">
        <v>659</v>
      </c>
      <c r="D26" s="6" t="s">
        <v>660</v>
      </c>
      <c r="E26" s="6" t="s">
        <v>34</v>
      </c>
      <c r="F26" s="6" t="s">
        <v>19</v>
      </c>
      <c r="G26" s="6" t="s">
        <v>653</v>
      </c>
      <c r="H26" s="6" t="s">
        <v>654</v>
      </c>
      <c r="I26" s="5" t="s">
        <v>658</v>
      </c>
      <c r="J26" s="6" t="s">
        <v>17</v>
      </c>
    </row>
    <row r="27" spans="1:10" x14ac:dyDescent="0.2">
      <c r="A27" s="4">
        <v>26</v>
      </c>
      <c r="B27" s="7" t="s">
        <v>1004</v>
      </c>
      <c r="C27" s="4" t="s">
        <v>668</v>
      </c>
      <c r="D27" s="6" t="s">
        <v>669</v>
      </c>
      <c r="E27" s="6" t="s">
        <v>12</v>
      </c>
      <c r="F27" s="6" t="s">
        <v>19</v>
      </c>
      <c r="G27" s="6" t="s">
        <v>67</v>
      </c>
      <c r="H27" s="6" t="s">
        <v>670</v>
      </c>
      <c r="I27" s="5" t="s">
        <v>671</v>
      </c>
      <c r="J27" s="6" t="s">
        <v>17</v>
      </c>
    </row>
    <row r="28" spans="1:10" x14ac:dyDescent="0.2">
      <c r="A28" s="4">
        <v>27</v>
      </c>
      <c r="B28" s="7" t="s">
        <v>1004</v>
      </c>
      <c r="C28" s="4" t="s">
        <v>732</v>
      </c>
      <c r="D28" s="6" t="s">
        <v>733</v>
      </c>
      <c r="E28" s="6" t="s">
        <v>12</v>
      </c>
      <c r="F28" s="6" t="s">
        <v>19</v>
      </c>
      <c r="G28" s="6" t="s">
        <v>98</v>
      </c>
      <c r="H28" s="6" t="s">
        <v>730</v>
      </c>
      <c r="I28" s="5" t="s">
        <v>731</v>
      </c>
      <c r="J28" s="6" t="s">
        <v>17</v>
      </c>
    </row>
    <row r="29" spans="1:10" x14ac:dyDescent="0.2">
      <c r="A29" s="4">
        <v>28</v>
      </c>
      <c r="B29" s="7" t="s">
        <v>1004</v>
      </c>
      <c r="C29" s="4" t="s">
        <v>738</v>
      </c>
      <c r="D29" s="6" t="s">
        <v>739</v>
      </c>
      <c r="E29" s="6" t="s">
        <v>34</v>
      </c>
      <c r="F29" s="6" t="s">
        <v>19</v>
      </c>
      <c r="G29" s="6" t="s">
        <v>147</v>
      </c>
      <c r="H29" s="6" t="s">
        <v>740</v>
      </c>
      <c r="I29" s="5" t="s">
        <v>741</v>
      </c>
      <c r="J29" s="6" t="s">
        <v>17</v>
      </c>
    </row>
    <row r="30" spans="1:10" x14ac:dyDescent="0.2">
      <c r="A30" s="4">
        <v>29</v>
      </c>
      <c r="B30" s="7" t="s">
        <v>1004</v>
      </c>
      <c r="C30" s="4" t="s">
        <v>744</v>
      </c>
      <c r="D30" s="6" t="s">
        <v>745</v>
      </c>
      <c r="E30" s="6" t="s">
        <v>34</v>
      </c>
      <c r="F30" s="6" t="s">
        <v>19</v>
      </c>
      <c r="G30" s="6" t="s">
        <v>147</v>
      </c>
      <c r="H30" s="6" t="s">
        <v>746</v>
      </c>
      <c r="I30" s="5" t="s">
        <v>747</v>
      </c>
      <c r="J30" s="6" t="s">
        <v>17</v>
      </c>
    </row>
    <row r="31" spans="1:10" x14ac:dyDescent="0.2">
      <c r="A31" s="4">
        <v>30</v>
      </c>
      <c r="B31" s="7" t="s">
        <v>1004</v>
      </c>
      <c r="C31" s="4" t="s">
        <v>748</v>
      </c>
      <c r="D31" s="6" t="s">
        <v>749</v>
      </c>
      <c r="E31" s="6" t="s">
        <v>34</v>
      </c>
      <c r="F31" s="6" t="s">
        <v>19</v>
      </c>
      <c r="G31" s="6" t="s">
        <v>20</v>
      </c>
      <c r="H31" s="6" t="s">
        <v>750</v>
      </c>
      <c r="I31" s="5" t="s">
        <v>751</v>
      </c>
      <c r="J31" s="6" t="s">
        <v>17</v>
      </c>
    </row>
    <row r="32" spans="1:10" x14ac:dyDescent="0.2">
      <c r="A32" s="4">
        <v>31</v>
      </c>
      <c r="B32" s="7" t="s">
        <v>1004</v>
      </c>
      <c r="C32" s="4" t="s">
        <v>755</v>
      </c>
      <c r="D32" s="6" t="s">
        <v>756</v>
      </c>
      <c r="E32" s="6" t="s">
        <v>34</v>
      </c>
      <c r="F32" s="6" t="s">
        <v>19</v>
      </c>
      <c r="G32" s="6" t="s">
        <v>176</v>
      </c>
      <c r="H32" s="6" t="s">
        <v>757</v>
      </c>
      <c r="I32" s="5" t="s">
        <v>758</v>
      </c>
      <c r="J32" s="6" t="s">
        <v>17</v>
      </c>
    </row>
    <row r="33" spans="1:10" x14ac:dyDescent="0.2">
      <c r="A33" s="4">
        <v>32</v>
      </c>
      <c r="B33" s="7" t="s">
        <v>1004</v>
      </c>
      <c r="C33" s="4" t="s">
        <v>807</v>
      </c>
      <c r="D33" s="6" t="s">
        <v>808</v>
      </c>
      <c r="E33" s="6" t="s">
        <v>34</v>
      </c>
      <c r="F33" s="6" t="s">
        <v>19</v>
      </c>
      <c r="G33" s="6" t="s">
        <v>47</v>
      </c>
      <c r="H33" s="6" t="s">
        <v>809</v>
      </c>
      <c r="I33" s="5" t="s">
        <v>810</v>
      </c>
      <c r="J33" s="6" t="s">
        <v>17</v>
      </c>
    </row>
    <row r="34" spans="1:10" x14ac:dyDescent="0.2">
      <c r="A34" s="4">
        <v>33</v>
      </c>
      <c r="B34" s="7" t="s">
        <v>1004</v>
      </c>
      <c r="C34" s="4" t="s">
        <v>828</v>
      </c>
      <c r="D34" s="6" t="s">
        <v>829</v>
      </c>
      <c r="E34" s="6" t="s">
        <v>34</v>
      </c>
      <c r="F34" s="6" t="s">
        <v>19</v>
      </c>
      <c r="G34" s="6" t="s">
        <v>98</v>
      </c>
      <c r="H34" s="6" t="s">
        <v>830</v>
      </c>
      <c r="I34" s="5" t="s">
        <v>831</v>
      </c>
      <c r="J34" s="6" t="s">
        <v>17</v>
      </c>
    </row>
    <row r="35" spans="1:10" x14ac:dyDescent="0.2">
      <c r="A35" s="4">
        <v>34</v>
      </c>
      <c r="B35" s="7" t="s">
        <v>1004</v>
      </c>
      <c r="C35" s="4" t="s">
        <v>883</v>
      </c>
      <c r="D35" s="6" t="s">
        <v>884</v>
      </c>
      <c r="E35" s="6" t="s">
        <v>34</v>
      </c>
      <c r="F35" s="6" t="s">
        <v>19</v>
      </c>
      <c r="G35" s="6" t="s">
        <v>885</v>
      </c>
      <c r="H35" s="6" t="s">
        <v>886</v>
      </c>
      <c r="I35" s="5" t="s">
        <v>887</v>
      </c>
      <c r="J35" s="6" t="s">
        <v>17</v>
      </c>
    </row>
    <row r="36" spans="1:10" x14ac:dyDescent="0.2">
      <c r="A36" s="4">
        <v>35</v>
      </c>
      <c r="B36" s="7" t="s">
        <v>1004</v>
      </c>
      <c r="C36" s="4" t="s">
        <v>927</v>
      </c>
      <c r="D36" s="6" t="s">
        <v>928</v>
      </c>
      <c r="E36" s="6" t="s">
        <v>34</v>
      </c>
      <c r="F36" s="6" t="s">
        <v>19</v>
      </c>
      <c r="G36" s="6" t="s">
        <v>929</v>
      </c>
      <c r="H36" s="6" t="s">
        <v>923</v>
      </c>
      <c r="I36" s="5" t="s">
        <v>924</v>
      </c>
      <c r="J36" s="6" t="s">
        <v>17</v>
      </c>
    </row>
    <row r="37" spans="1:10" x14ac:dyDescent="0.2">
      <c r="A37" s="4">
        <v>36</v>
      </c>
      <c r="B37" s="7" t="s">
        <v>1004</v>
      </c>
      <c r="C37" s="4" t="s">
        <v>942</v>
      </c>
      <c r="D37" s="6" t="s">
        <v>943</v>
      </c>
      <c r="E37" s="6" t="s">
        <v>34</v>
      </c>
      <c r="F37" s="6" t="s">
        <v>19</v>
      </c>
      <c r="G37" s="6" t="s">
        <v>88</v>
      </c>
      <c r="H37" s="6" t="s">
        <v>944</v>
      </c>
      <c r="I37" s="5" t="s">
        <v>945</v>
      </c>
      <c r="J37" s="6" t="s">
        <v>17</v>
      </c>
    </row>
    <row r="38" spans="1:10" x14ac:dyDescent="0.2">
      <c r="A38" s="4">
        <v>37</v>
      </c>
      <c r="B38" s="7" t="s">
        <v>1004</v>
      </c>
      <c r="C38" s="4" t="s">
        <v>974</v>
      </c>
      <c r="D38" s="6" t="s">
        <v>975</v>
      </c>
      <c r="E38" s="6" t="s">
        <v>34</v>
      </c>
      <c r="F38" s="6" t="s">
        <v>19</v>
      </c>
      <c r="G38" s="6" t="s">
        <v>98</v>
      </c>
      <c r="H38" s="6" t="s">
        <v>976</v>
      </c>
      <c r="I38" s="5" t="s">
        <v>977</v>
      </c>
      <c r="J38" s="6" t="s">
        <v>17</v>
      </c>
    </row>
    <row r="39" spans="1:10" x14ac:dyDescent="0.2">
      <c r="A39" s="4">
        <v>38</v>
      </c>
      <c r="B39" s="7" t="s">
        <v>1004</v>
      </c>
      <c r="C39" s="4" t="s">
        <v>985</v>
      </c>
      <c r="D39" s="6" t="s">
        <v>986</v>
      </c>
      <c r="E39" s="6" t="s">
        <v>12</v>
      </c>
      <c r="F39" s="6" t="s">
        <v>19</v>
      </c>
      <c r="G39" s="6" t="s">
        <v>131</v>
      </c>
      <c r="H39" s="6" t="s">
        <v>987</v>
      </c>
      <c r="I39" s="5" t="s">
        <v>988</v>
      </c>
      <c r="J39" s="6" t="s">
        <v>17</v>
      </c>
    </row>
    <row r="40" spans="1:10" x14ac:dyDescent="0.2">
      <c r="A40" s="4">
        <v>39</v>
      </c>
      <c r="B40" s="7" t="s">
        <v>1004</v>
      </c>
      <c r="C40" s="4" t="s">
        <v>994</v>
      </c>
      <c r="D40" s="6" t="s">
        <v>995</v>
      </c>
      <c r="E40" s="6" t="s">
        <v>34</v>
      </c>
      <c r="F40" s="6" t="s">
        <v>19</v>
      </c>
      <c r="G40" s="6" t="s">
        <v>24</v>
      </c>
      <c r="H40" s="6" t="s">
        <v>992</v>
      </c>
      <c r="I40" s="5" t="s">
        <v>993</v>
      </c>
      <c r="J40" s="6" t="s">
        <v>17</v>
      </c>
    </row>
  </sheetData>
  <phoneticPr fontId="2" type="noConversion"/>
  <pageMargins left="0.7" right="0.7" top="0.75" bottom="0.75" header="0.3" footer="0.3"/>
  <pageSetup paperSize="9" orientation="portrait" horizontalDpi="0" verticalDpi="0"/>
  <ignoredErrors>
    <ignoredError sqref="A1:J1 A27:A40 A2 C2:J2 A3:A13 C3:J13 A14 C14:J14 A15:A25 C15:J25 A26 C26:J26 C27:J4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8"/>
  <sheetViews>
    <sheetView topLeftCell="A21" workbookViewId="0">
      <selection activeCell="F54" sqref="F54"/>
    </sheetView>
  </sheetViews>
  <sheetFormatPr baseColWidth="10" defaultRowHeight="15" x14ac:dyDescent="0.2"/>
  <cols>
    <col min="1" max="2" width="6.83203125" customWidth="1"/>
    <col min="3" max="3" width="10.83203125" customWidth="1"/>
    <col min="4" max="4" width="16.83203125" customWidth="1"/>
    <col min="5" max="5" width="6.83203125" customWidth="1"/>
    <col min="6" max="6" width="8.83203125" customWidth="1"/>
    <col min="7" max="7" width="17.83203125" customWidth="1"/>
    <col min="8" max="8" width="10.83203125" customWidth="1"/>
    <col min="9" max="9" width="15.83203125" customWidth="1"/>
    <col min="10" max="10" width="6.83203125" customWidth="1"/>
  </cols>
  <sheetData>
    <row r="1" spans="1:10" x14ac:dyDescent="0.2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2">
      <c r="A2" s="4">
        <v>1</v>
      </c>
      <c r="B2" s="7" t="s">
        <v>1005</v>
      </c>
      <c r="C2" s="4" t="s">
        <v>10</v>
      </c>
      <c r="D2" s="6" t="s">
        <v>54</v>
      </c>
      <c r="E2" s="6" t="s">
        <v>12</v>
      </c>
      <c r="F2" s="6" t="s">
        <v>55</v>
      </c>
      <c r="G2" s="6" t="s">
        <v>56</v>
      </c>
      <c r="H2" s="6" t="s">
        <v>57</v>
      </c>
      <c r="I2" s="5" t="s">
        <v>58</v>
      </c>
      <c r="J2" s="6" t="s">
        <v>17</v>
      </c>
    </row>
    <row r="3" spans="1:10" x14ac:dyDescent="0.2">
      <c r="A3" s="4">
        <v>2</v>
      </c>
      <c r="B3" s="7" t="s">
        <v>1005</v>
      </c>
      <c r="C3" s="4" t="s">
        <v>10</v>
      </c>
      <c r="D3" s="6" t="s">
        <v>70</v>
      </c>
      <c r="E3" s="6" t="s">
        <v>12</v>
      </c>
      <c r="F3" s="6" t="s">
        <v>55</v>
      </c>
      <c r="G3" s="6" t="s">
        <v>67</v>
      </c>
      <c r="H3" s="6" t="s">
        <v>68</v>
      </c>
      <c r="I3" s="5" t="s">
        <v>69</v>
      </c>
      <c r="J3" s="6" t="s">
        <v>17</v>
      </c>
    </row>
    <row r="4" spans="1:10" x14ac:dyDescent="0.2">
      <c r="A4" s="4">
        <v>3</v>
      </c>
      <c r="B4" s="7" t="s">
        <v>1005</v>
      </c>
      <c r="C4" s="4" t="s">
        <v>10</v>
      </c>
      <c r="D4" s="6" t="s">
        <v>80</v>
      </c>
      <c r="E4" s="6" t="s">
        <v>34</v>
      </c>
      <c r="F4" s="6" t="s">
        <v>55</v>
      </c>
      <c r="G4" s="6" t="s">
        <v>56</v>
      </c>
      <c r="H4" s="6" t="s">
        <v>81</v>
      </c>
      <c r="I4" s="5" t="s">
        <v>82</v>
      </c>
      <c r="J4" s="6" t="s">
        <v>17</v>
      </c>
    </row>
    <row r="5" spans="1:10" x14ac:dyDescent="0.2">
      <c r="A5" s="4">
        <v>4</v>
      </c>
      <c r="B5" s="7" t="s">
        <v>1005</v>
      </c>
      <c r="C5" s="4" t="s">
        <v>10</v>
      </c>
      <c r="D5" s="6" t="s">
        <v>91</v>
      </c>
      <c r="E5" s="6" t="s">
        <v>34</v>
      </c>
      <c r="F5" s="6" t="s">
        <v>55</v>
      </c>
      <c r="G5" s="6" t="s">
        <v>88</v>
      </c>
      <c r="H5" s="6" t="s">
        <v>89</v>
      </c>
      <c r="I5" s="5" t="s">
        <v>90</v>
      </c>
      <c r="J5" s="6" t="s">
        <v>17</v>
      </c>
    </row>
    <row r="6" spans="1:10" x14ac:dyDescent="0.2">
      <c r="A6" s="4">
        <v>5</v>
      </c>
      <c r="B6" s="7" t="s">
        <v>1005</v>
      </c>
      <c r="C6" s="4" t="s">
        <v>10</v>
      </c>
      <c r="D6" s="6" t="s">
        <v>97</v>
      </c>
      <c r="E6" s="6" t="s">
        <v>12</v>
      </c>
      <c r="F6" s="6" t="s">
        <v>55</v>
      </c>
      <c r="G6" s="6" t="s">
        <v>98</v>
      </c>
      <c r="H6" s="6" t="s">
        <v>99</v>
      </c>
      <c r="I6" s="5" t="s">
        <v>100</v>
      </c>
      <c r="J6" s="6" t="s">
        <v>17</v>
      </c>
    </row>
    <row r="7" spans="1:10" x14ac:dyDescent="0.2">
      <c r="A7" s="4">
        <v>6</v>
      </c>
      <c r="B7" s="7" t="s">
        <v>1005</v>
      </c>
      <c r="C7" s="4" t="s">
        <v>10</v>
      </c>
      <c r="D7" s="6" t="s">
        <v>114</v>
      </c>
      <c r="E7" s="6" t="s">
        <v>34</v>
      </c>
      <c r="F7" s="6" t="s">
        <v>55</v>
      </c>
      <c r="G7" s="6" t="s">
        <v>14</v>
      </c>
      <c r="H7" s="6" t="s">
        <v>115</v>
      </c>
      <c r="I7" s="5" t="s">
        <v>116</v>
      </c>
      <c r="J7" s="6" t="s">
        <v>17</v>
      </c>
    </row>
    <row r="8" spans="1:10" x14ac:dyDescent="0.2">
      <c r="A8" s="4">
        <v>7</v>
      </c>
      <c r="B8" s="7" t="s">
        <v>1005</v>
      </c>
      <c r="C8" s="4" t="s">
        <v>10</v>
      </c>
      <c r="D8" s="6" t="s">
        <v>117</v>
      </c>
      <c r="E8" s="6" t="s">
        <v>34</v>
      </c>
      <c r="F8" s="6" t="s">
        <v>55</v>
      </c>
      <c r="G8" s="6" t="s">
        <v>14</v>
      </c>
      <c r="H8" s="6" t="s">
        <v>118</v>
      </c>
      <c r="I8" s="5" t="s">
        <v>119</v>
      </c>
      <c r="J8" s="6" t="s">
        <v>17</v>
      </c>
    </row>
    <row r="9" spans="1:10" x14ac:dyDescent="0.2">
      <c r="A9" s="4">
        <v>8</v>
      </c>
      <c r="B9" s="7" t="s">
        <v>1005</v>
      </c>
      <c r="C9" s="4" t="s">
        <v>10</v>
      </c>
      <c r="D9" s="6" t="s">
        <v>128</v>
      </c>
      <c r="E9" s="6" t="s">
        <v>34</v>
      </c>
      <c r="F9" s="6" t="s">
        <v>55</v>
      </c>
      <c r="G9" s="6" t="s">
        <v>24</v>
      </c>
      <c r="H9" s="6" t="s">
        <v>121</v>
      </c>
      <c r="I9" s="5" t="s">
        <v>122</v>
      </c>
      <c r="J9" s="6" t="s">
        <v>17</v>
      </c>
    </row>
    <row r="10" spans="1:10" x14ac:dyDescent="0.2">
      <c r="A10" s="4">
        <v>9</v>
      </c>
      <c r="B10" s="7" t="s">
        <v>1005</v>
      </c>
      <c r="C10" s="4" t="s">
        <v>174</v>
      </c>
      <c r="D10" s="6" t="s">
        <v>175</v>
      </c>
      <c r="E10" s="6" t="s">
        <v>12</v>
      </c>
      <c r="F10" s="6" t="s">
        <v>55</v>
      </c>
      <c r="G10" s="6" t="s">
        <v>176</v>
      </c>
      <c r="H10" s="6" t="s">
        <v>177</v>
      </c>
      <c r="I10" s="5" t="s">
        <v>178</v>
      </c>
      <c r="J10" s="6" t="s">
        <v>17</v>
      </c>
    </row>
    <row r="11" spans="1:10" x14ac:dyDescent="0.2">
      <c r="A11" s="4">
        <v>10</v>
      </c>
      <c r="B11" s="7" t="s">
        <v>1005</v>
      </c>
      <c r="C11" s="4" t="s">
        <v>193</v>
      </c>
      <c r="D11" s="6" t="s">
        <v>194</v>
      </c>
      <c r="E11" s="6" t="s">
        <v>34</v>
      </c>
      <c r="F11" s="6" t="s">
        <v>55</v>
      </c>
      <c r="G11" s="6" t="s">
        <v>195</v>
      </c>
      <c r="H11" s="6" t="s">
        <v>196</v>
      </c>
      <c r="I11" s="5" t="s">
        <v>197</v>
      </c>
      <c r="J11" s="6" t="s">
        <v>17</v>
      </c>
    </row>
    <row r="12" spans="1:10" x14ac:dyDescent="0.2">
      <c r="A12" s="4">
        <v>11</v>
      </c>
      <c r="B12" s="7" t="s">
        <v>1005</v>
      </c>
      <c r="C12" s="4" t="s">
        <v>210</v>
      </c>
      <c r="D12" s="6" t="s">
        <v>211</v>
      </c>
      <c r="E12" s="6" t="s">
        <v>34</v>
      </c>
      <c r="F12" s="6" t="s">
        <v>55</v>
      </c>
      <c r="G12" s="6" t="s">
        <v>212</v>
      </c>
      <c r="H12" s="6" t="s">
        <v>213</v>
      </c>
      <c r="I12" s="5" t="s">
        <v>214</v>
      </c>
      <c r="J12" s="6" t="s">
        <v>17</v>
      </c>
    </row>
    <row r="13" spans="1:10" x14ac:dyDescent="0.2">
      <c r="A13" s="4">
        <v>12</v>
      </c>
      <c r="B13" s="7" t="s">
        <v>1005</v>
      </c>
      <c r="C13" s="4" t="s">
        <v>217</v>
      </c>
      <c r="D13" s="6" t="s">
        <v>218</v>
      </c>
      <c r="E13" s="6" t="s">
        <v>34</v>
      </c>
      <c r="F13" s="6" t="s">
        <v>55</v>
      </c>
      <c r="G13" s="6" t="s">
        <v>219</v>
      </c>
      <c r="H13" s="6" t="s">
        <v>220</v>
      </c>
      <c r="I13" s="5" t="s">
        <v>221</v>
      </c>
      <c r="J13" s="6" t="s">
        <v>17</v>
      </c>
    </row>
    <row r="14" spans="1:10" x14ac:dyDescent="0.2">
      <c r="A14" s="4">
        <v>13</v>
      </c>
      <c r="B14" s="7" t="s">
        <v>1006</v>
      </c>
      <c r="C14" s="4" t="s">
        <v>245</v>
      </c>
      <c r="D14" s="6" t="s">
        <v>246</v>
      </c>
      <c r="E14" s="6" t="s">
        <v>34</v>
      </c>
      <c r="F14" s="6" t="s">
        <v>55</v>
      </c>
      <c r="G14" s="6" t="s">
        <v>157</v>
      </c>
      <c r="H14" s="6" t="s">
        <v>247</v>
      </c>
      <c r="I14" s="5" t="s">
        <v>248</v>
      </c>
      <c r="J14" s="6" t="s">
        <v>17</v>
      </c>
    </row>
    <row r="15" spans="1:10" x14ac:dyDescent="0.2">
      <c r="A15" s="4">
        <v>14</v>
      </c>
      <c r="B15" s="7" t="s">
        <v>1006</v>
      </c>
      <c r="C15" s="4" t="s">
        <v>288</v>
      </c>
      <c r="D15" s="6" t="s">
        <v>289</v>
      </c>
      <c r="E15" s="6" t="s">
        <v>34</v>
      </c>
      <c r="F15" s="6" t="s">
        <v>55</v>
      </c>
      <c r="G15" s="6" t="s">
        <v>157</v>
      </c>
      <c r="H15" s="6" t="s">
        <v>282</v>
      </c>
      <c r="I15" s="5" t="s">
        <v>283</v>
      </c>
      <c r="J15" s="6" t="s">
        <v>17</v>
      </c>
    </row>
    <row r="16" spans="1:10" x14ac:dyDescent="0.2">
      <c r="A16" s="4">
        <v>15</v>
      </c>
      <c r="B16" s="7" t="s">
        <v>1006</v>
      </c>
      <c r="C16" s="4" t="s">
        <v>303</v>
      </c>
      <c r="D16" s="6" t="s">
        <v>304</v>
      </c>
      <c r="E16" s="6" t="s">
        <v>12</v>
      </c>
      <c r="F16" s="6" t="s">
        <v>55</v>
      </c>
      <c r="G16" s="6" t="s">
        <v>88</v>
      </c>
      <c r="H16" s="6" t="s">
        <v>300</v>
      </c>
      <c r="I16" s="5" t="s">
        <v>301</v>
      </c>
      <c r="J16" s="6" t="s">
        <v>17</v>
      </c>
    </row>
    <row r="17" spans="1:10" x14ac:dyDescent="0.2">
      <c r="A17" s="4">
        <v>16</v>
      </c>
      <c r="B17" s="7" t="s">
        <v>1006</v>
      </c>
      <c r="C17" s="4" t="s">
        <v>321</v>
      </c>
      <c r="D17" s="6" t="s">
        <v>322</v>
      </c>
      <c r="E17" s="6" t="s">
        <v>34</v>
      </c>
      <c r="F17" s="6" t="s">
        <v>55</v>
      </c>
      <c r="G17" s="6" t="s">
        <v>323</v>
      </c>
      <c r="H17" s="6" t="s">
        <v>324</v>
      </c>
      <c r="I17" s="5" t="s">
        <v>325</v>
      </c>
      <c r="J17" s="6" t="s">
        <v>17</v>
      </c>
    </row>
    <row r="18" spans="1:10" x14ac:dyDescent="0.2">
      <c r="A18" s="4">
        <v>17</v>
      </c>
      <c r="B18" s="7" t="s">
        <v>1006</v>
      </c>
      <c r="C18" s="4" t="s">
        <v>341</v>
      </c>
      <c r="D18" s="6" t="s">
        <v>342</v>
      </c>
      <c r="E18" s="6" t="s">
        <v>12</v>
      </c>
      <c r="F18" s="6" t="s">
        <v>55</v>
      </c>
      <c r="G18" s="6" t="s">
        <v>24</v>
      </c>
      <c r="H18" s="6" t="s">
        <v>343</v>
      </c>
      <c r="I18" s="5" t="s">
        <v>344</v>
      </c>
      <c r="J18" s="6" t="s">
        <v>17</v>
      </c>
    </row>
    <row r="19" spans="1:10" x14ac:dyDescent="0.2">
      <c r="A19" s="4">
        <v>18</v>
      </c>
      <c r="B19" s="7" t="s">
        <v>1006</v>
      </c>
      <c r="C19" s="4" t="s">
        <v>348</v>
      </c>
      <c r="D19" s="6" t="s">
        <v>349</v>
      </c>
      <c r="E19" s="6" t="s">
        <v>12</v>
      </c>
      <c r="F19" s="6" t="s">
        <v>55</v>
      </c>
      <c r="G19" s="6" t="s">
        <v>24</v>
      </c>
      <c r="H19" s="6" t="s">
        <v>350</v>
      </c>
      <c r="I19" s="5" t="s">
        <v>351</v>
      </c>
      <c r="J19" s="6" t="s">
        <v>17</v>
      </c>
    </row>
    <row r="20" spans="1:10" x14ac:dyDescent="0.2">
      <c r="A20" s="4">
        <v>19</v>
      </c>
      <c r="B20" s="7" t="s">
        <v>1006</v>
      </c>
      <c r="C20" s="4" t="s">
        <v>375</v>
      </c>
      <c r="D20" s="6" t="s">
        <v>376</v>
      </c>
      <c r="E20" s="6" t="s">
        <v>12</v>
      </c>
      <c r="F20" s="6" t="s">
        <v>55</v>
      </c>
      <c r="G20" s="6" t="s">
        <v>131</v>
      </c>
      <c r="H20" s="6" t="s">
        <v>373</v>
      </c>
      <c r="I20" s="5" t="s">
        <v>374</v>
      </c>
      <c r="J20" s="6" t="s">
        <v>17</v>
      </c>
    </row>
    <row r="21" spans="1:10" x14ac:dyDescent="0.2">
      <c r="A21" s="4">
        <v>20</v>
      </c>
      <c r="B21" s="7" t="s">
        <v>1006</v>
      </c>
      <c r="C21" s="4" t="s">
        <v>382</v>
      </c>
      <c r="D21" s="6" t="s">
        <v>383</v>
      </c>
      <c r="E21" s="6" t="s">
        <v>34</v>
      </c>
      <c r="F21" s="6" t="s">
        <v>55</v>
      </c>
      <c r="G21" s="6" t="s">
        <v>297</v>
      </c>
      <c r="H21" s="6" t="s">
        <v>380</v>
      </c>
      <c r="I21" s="5" t="s">
        <v>381</v>
      </c>
      <c r="J21" s="6" t="s">
        <v>17</v>
      </c>
    </row>
    <row r="22" spans="1:10" x14ac:dyDescent="0.2">
      <c r="A22" s="4">
        <v>21</v>
      </c>
      <c r="B22" s="7" t="s">
        <v>1006</v>
      </c>
      <c r="C22" s="4" t="s">
        <v>384</v>
      </c>
      <c r="D22" s="6" t="s">
        <v>385</v>
      </c>
      <c r="E22" s="6" t="s">
        <v>34</v>
      </c>
      <c r="F22" s="6" t="s">
        <v>55</v>
      </c>
      <c r="G22" s="6" t="s">
        <v>323</v>
      </c>
      <c r="H22" s="6" t="s">
        <v>386</v>
      </c>
      <c r="I22" s="5" t="s">
        <v>387</v>
      </c>
      <c r="J22" s="6" t="s">
        <v>17</v>
      </c>
    </row>
    <row r="23" spans="1:10" x14ac:dyDescent="0.2">
      <c r="A23" s="4">
        <v>22</v>
      </c>
      <c r="B23" s="7" t="s">
        <v>1006</v>
      </c>
      <c r="C23" s="4" t="s">
        <v>409</v>
      </c>
      <c r="D23" s="6" t="s">
        <v>410</v>
      </c>
      <c r="E23" s="6" t="s">
        <v>12</v>
      </c>
      <c r="F23" s="6" t="s">
        <v>55</v>
      </c>
      <c r="G23" s="6" t="s">
        <v>323</v>
      </c>
      <c r="H23" s="6" t="s">
        <v>411</v>
      </c>
      <c r="I23" s="5" t="s">
        <v>412</v>
      </c>
      <c r="J23" s="6" t="s">
        <v>17</v>
      </c>
    </row>
    <row r="24" spans="1:10" x14ac:dyDescent="0.2">
      <c r="A24" s="4">
        <v>23</v>
      </c>
      <c r="B24" s="7" t="s">
        <v>1006</v>
      </c>
      <c r="C24" s="4" t="s">
        <v>459</v>
      </c>
      <c r="D24" s="6" t="s">
        <v>460</v>
      </c>
      <c r="E24" s="6" t="s">
        <v>12</v>
      </c>
      <c r="F24" s="6" t="s">
        <v>55</v>
      </c>
      <c r="G24" s="6" t="s">
        <v>456</v>
      </c>
      <c r="H24" s="6" t="s">
        <v>457</v>
      </c>
      <c r="I24" s="5" t="s">
        <v>458</v>
      </c>
      <c r="J24" s="6" t="s">
        <v>17</v>
      </c>
    </row>
    <row r="25" spans="1:10" x14ac:dyDescent="0.2">
      <c r="A25" s="4">
        <v>24</v>
      </c>
      <c r="B25" s="7" t="s">
        <v>1006</v>
      </c>
      <c r="C25" s="4" t="s">
        <v>465</v>
      </c>
      <c r="D25" s="6" t="s">
        <v>466</v>
      </c>
      <c r="E25" s="6" t="s">
        <v>34</v>
      </c>
      <c r="F25" s="6" t="s">
        <v>55</v>
      </c>
      <c r="G25" s="6" t="s">
        <v>131</v>
      </c>
      <c r="H25" s="6" t="s">
        <v>467</v>
      </c>
      <c r="I25" s="5" t="s">
        <v>468</v>
      </c>
      <c r="J25" s="6" t="s">
        <v>17</v>
      </c>
    </row>
    <row r="26" spans="1:10" x14ac:dyDescent="0.2">
      <c r="A26" s="4">
        <v>25</v>
      </c>
      <c r="B26" s="7" t="s">
        <v>1007</v>
      </c>
      <c r="C26" s="4" t="s">
        <v>497</v>
      </c>
      <c r="D26" s="6" t="s">
        <v>498</v>
      </c>
      <c r="E26" s="6" t="s">
        <v>12</v>
      </c>
      <c r="F26" s="6" t="s">
        <v>55</v>
      </c>
      <c r="G26" s="6" t="s">
        <v>499</v>
      </c>
      <c r="H26" s="6" t="s">
        <v>500</v>
      </c>
      <c r="I26" s="5" t="s">
        <v>501</v>
      </c>
      <c r="J26" s="6" t="s">
        <v>17</v>
      </c>
    </row>
    <row r="27" spans="1:10" x14ac:dyDescent="0.2">
      <c r="A27" s="4">
        <v>26</v>
      </c>
      <c r="B27" s="7" t="s">
        <v>1007</v>
      </c>
      <c r="C27" s="4" t="s">
        <v>502</v>
      </c>
      <c r="D27" s="6" t="s">
        <v>503</v>
      </c>
      <c r="E27" s="6" t="s">
        <v>34</v>
      </c>
      <c r="F27" s="6" t="s">
        <v>55</v>
      </c>
      <c r="G27" s="6" t="s">
        <v>504</v>
      </c>
      <c r="H27" s="6" t="s">
        <v>505</v>
      </c>
      <c r="I27" s="5" t="s">
        <v>506</v>
      </c>
      <c r="J27" s="6" t="s">
        <v>17</v>
      </c>
    </row>
    <row r="28" spans="1:10" x14ac:dyDescent="0.2">
      <c r="A28" s="4">
        <v>27</v>
      </c>
      <c r="B28" s="7" t="s">
        <v>1007</v>
      </c>
      <c r="C28" s="4" t="s">
        <v>534</v>
      </c>
      <c r="D28" s="6" t="s">
        <v>535</v>
      </c>
      <c r="E28" s="6" t="s">
        <v>12</v>
      </c>
      <c r="F28" s="6" t="s">
        <v>55</v>
      </c>
      <c r="G28" s="6" t="s">
        <v>20</v>
      </c>
      <c r="H28" s="6" t="s">
        <v>536</v>
      </c>
      <c r="I28" s="5" t="s">
        <v>537</v>
      </c>
      <c r="J28" s="6" t="s">
        <v>17</v>
      </c>
    </row>
    <row r="29" spans="1:10" x14ac:dyDescent="0.2">
      <c r="A29" s="4">
        <v>28</v>
      </c>
      <c r="B29" s="7" t="s">
        <v>1007</v>
      </c>
      <c r="C29" s="4" t="s">
        <v>538</v>
      </c>
      <c r="D29" s="6" t="s">
        <v>539</v>
      </c>
      <c r="E29" s="6" t="s">
        <v>12</v>
      </c>
      <c r="F29" s="6" t="s">
        <v>55</v>
      </c>
      <c r="G29" s="6" t="s">
        <v>147</v>
      </c>
      <c r="H29" s="6" t="s">
        <v>540</v>
      </c>
      <c r="I29" s="5" t="s">
        <v>541</v>
      </c>
      <c r="J29" s="6" t="s">
        <v>17</v>
      </c>
    </row>
    <row r="30" spans="1:10" x14ac:dyDescent="0.2">
      <c r="A30" s="4">
        <v>29</v>
      </c>
      <c r="B30" s="7" t="s">
        <v>1007</v>
      </c>
      <c r="C30" s="4" t="s">
        <v>564</v>
      </c>
      <c r="D30" s="6" t="s">
        <v>565</v>
      </c>
      <c r="E30" s="6" t="s">
        <v>34</v>
      </c>
      <c r="F30" s="6" t="s">
        <v>55</v>
      </c>
      <c r="G30" s="6" t="s">
        <v>20</v>
      </c>
      <c r="H30" s="6" t="s">
        <v>566</v>
      </c>
      <c r="I30" s="5" t="s">
        <v>567</v>
      </c>
      <c r="J30" s="6" t="s">
        <v>17</v>
      </c>
    </row>
    <row r="31" spans="1:10" x14ac:dyDescent="0.2">
      <c r="A31" s="4">
        <v>30</v>
      </c>
      <c r="B31" s="7" t="s">
        <v>1007</v>
      </c>
      <c r="C31" s="4" t="s">
        <v>570</v>
      </c>
      <c r="D31" s="6" t="s">
        <v>571</v>
      </c>
      <c r="E31" s="6" t="s">
        <v>12</v>
      </c>
      <c r="F31" s="6" t="s">
        <v>55</v>
      </c>
      <c r="G31" s="6" t="s">
        <v>323</v>
      </c>
      <c r="H31" s="6" t="s">
        <v>572</v>
      </c>
      <c r="I31" s="5" t="s">
        <v>573</v>
      </c>
      <c r="J31" s="6" t="s">
        <v>17</v>
      </c>
    </row>
    <row r="32" spans="1:10" x14ac:dyDescent="0.2">
      <c r="A32" s="4">
        <v>31</v>
      </c>
      <c r="B32" s="7" t="s">
        <v>1007</v>
      </c>
      <c r="C32" s="4" t="s">
        <v>616</v>
      </c>
      <c r="D32" s="6" t="s">
        <v>617</v>
      </c>
      <c r="E32" s="6" t="s">
        <v>12</v>
      </c>
      <c r="F32" s="6" t="s">
        <v>55</v>
      </c>
      <c r="G32" s="6" t="s">
        <v>40</v>
      </c>
      <c r="H32" s="6" t="s">
        <v>618</v>
      </c>
      <c r="I32" s="5" t="s">
        <v>619</v>
      </c>
      <c r="J32" s="6" t="s">
        <v>17</v>
      </c>
    </row>
    <row r="33" spans="1:10" x14ac:dyDescent="0.2">
      <c r="A33" s="4">
        <v>32</v>
      </c>
      <c r="B33" s="7" t="s">
        <v>1007</v>
      </c>
      <c r="C33" s="4" t="s">
        <v>631</v>
      </c>
      <c r="D33" s="6" t="s">
        <v>632</v>
      </c>
      <c r="E33" s="6" t="s">
        <v>34</v>
      </c>
      <c r="F33" s="6" t="s">
        <v>55</v>
      </c>
      <c r="G33" s="6" t="s">
        <v>633</v>
      </c>
      <c r="H33" s="6" t="s">
        <v>629</v>
      </c>
      <c r="I33" s="5" t="s">
        <v>630</v>
      </c>
      <c r="J33" s="6" t="s">
        <v>17</v>
      </c>
    </row>
    <row r="34" spans="1:10" x14ac:dyDescent="0.2">
      <c r="A34" s="4">
        <v>33</v>
      </c>
      <c r="B34" s="7" t="s">
        <v>1007</v>
      </c>
      <c r="C34" s="4" t="s">
        <v>638</v>
      </c>
      <c r="D34" s="6" t="s">
        <v>639</v>
      </c>
      <c r="E34" s="6" t="s">
        <v>12</v>
      </c>
      <c r="F34" s="6" t="s">
        <v>55</v>
      </c>
      <c r="G34" s="6" t="s">
        <v>14</v>
      </c>
      <c r="H34" s="6" t="s">
        <v>640</v>
      </c>
      <c r="I34" s="5" t="s">
        <v>641</v>
      </c>
      <c r="J34" s="6" t="s">
        <v>17</v>
      </c>
    </row>
    <row r="35" spans="1:10" x14ac:dyDescent="0.2">
      <c r="A35" s="4">
        <v>34</v>
      </c>
      <c r="B35" s="7" t="s">
        <v>1007</v>
      </c>
      <c r="C35" s="4" t="s">
        <v>689</v>
      </c>
      <c r="D35" s="6" t="s">
        <v>690</v>
      </c>
      <c r="E35" s="6" t="s">
        <v>34</v>
      </c>
      <c r="F35" s="6" t="s">
        <v>55</v>
      </c>
      <c r="G35" s="6" t="s">
        <v>691</v>
      </c>
      <c r="H35" s="6" t="s">
        <v>692</v>
      </c>
      <c r="I35" s="5" t="s">
        <v>693</v>
      </c>
      <c r="J35" s="6" t="s">
        <v>17</v>
      </c>
    </row>
    <row r="36" spans="1:10" x14ac:dyDescent="0.2">
      <c r="A36" s="4">
        <v>35</v>
      </c>
      <c r="B36" s="7" t="s">
        <v>1007</v>
      </c>
      <c r="C36" s="4" t="s">
        <v>694</v>
      </c>
      <c r="D36" s="6" t="s">
        <v>695</v>
      </c>
      <c r="E36" s="6" t="s">
        <v>12</v>
      </c>
      <c r="F36" s="6" t="s">
        <v>55</v>
      </c>
      <c r="G36" s="6" t="s">
        <v>323</v>
      </c>
      <c r="H36" s="6" t="s">
        <v>696</v>
      </c>
      <c r="I36" s="5" t="s">
        <v>697</v>
      </c>
      <c r="J36" s="6" t="s">
        <v>17</v>
      </c>
    </row>
    <row r="37" spans="1:10" x14ac:dyDescent="0.2">
      <c r="A37" s="4">
        <v>36</v>
      </c>
      <c r="B37" s="7" t="s">
        <v>1007</v>
      </c>
      <c r="C37" s="4" t="s">
        <v>707</v>
      </c>
      <c r="D37" s="6" t="s">
        <v>708</v>
      </c>
      <c r="E37" s="6" t="s">
        <v>34</v>
      </c>
      <c r="F37" s="6" t="s">
        <v>55</v>
      </c>
      <c r="G37" s="6" t="s">
        <v>709</v>
      </c>
      <c r="H37" s="6" t="s">
        <v>710</v>
      </c>
      <c r="I37" s="5" t="s">
        <v>711</v>
      </c>
      <c r="J37" s="6" t="s">
        <v>17</v>
      </c>
    </row>
    <row r="38" spans="1:10" x14ac:dyDescent="0.2">
      <c r="A38" s="4">
        <v>37</v>
      </c>
      <c r="B38" s="7" t="s">
        <v>1008</v>
      </c>
      <c r="C38" s="4" t="s">
        <v>723</v>
      </c>
      <c r="D38" s="6" t="s">
        <v>724</v>
      </c>
      <c r="E38" s="6" t="s">
        <v>12</v>
      </c>
      <c r="F38" s="6" t="s">
        <v>55</v>
      </c>
      <c r="G38" s="6" t="s">
        <v>725</v>
      </c>
      <c r="H38" s="6" t="s">
        <v>726</v>
      </c>
      <c r="I38" s="5" t="s">
        <v>727</v>
      </c>
      <c r="J38" s="6" t="s">
        <v>17</v>
      </c>
    </row>
    <row r="39" spans="1:10" x14ac:dyDescent="0.2">
      <c r="A39" s="4">
        <v>38</v>
      </c>
      <c r="B39" s="7" t="s">
        <v>1008</v>
      </c>
      <c r="C39" s="4" t="s">
        <v>771</v>
      </c>
      <c r="D39" s="6" t="s">
        <v>772</v>
      </c>
      <c r="E39" s="6" t="s">
        <v>34</v>
      </c>
      <c r="F39" s="6" t="s">
        <v>55</v>
      </c>
      <c r="G39" s="6" t="s">
        <v>456</v>
      </c>
      <c r="H39" s="6" t="s">
        <v>773</v>
      </c>
      <c r="I39" s="5" t="s">
        <v>774</v>
      </c>
      <c r="J39" s="6" t="s">
        <v>17</v>
      </c>
    </row>
    <row r="40" spans="1:10" x14ac:dyDescent="0.2">
      <c r="A40" s="4">
        <v>39</v>
      </c>
      <c r="B40" s="7" t="s">
        <v>1008</v>
      </c>
      <c r="C40" s="4" t="s">
        <v>784</v>
      </c>
      <c r="D40" s="6" t="s">
        <v>785</v>
      </c>
      <c r="E40" s="6" t="s">
        <v>34</v>
      </c>
      <c r="F40" s="6" t="s">
        <v>55</v>
      </c>
      <c r="G40" s="6" t="s">
        <v>779</v>
      </c>
      <c r="H40" s="6" t="s">
        <v>780</v>
      </c>
      <c r="I40" s="5" t="s">
        <v>781</v>
      </c>
      <c r="J40" s="6" t="s">
        <v>17</v>
      </c>
    </row>
    <row r="41" spans="1:10" x14ac:dyDescent="0.2">
      <c r="A41" s="4">
        <v>40</v>
      </c>
      <c r="B41" s="7" t="s">
        <v>1008</v>
      </c>
      <c r="C41" s="4" t="s">
        <v>836</v>
      </c>
      <c r="D41" s="6" t="s">
        <v>837</v>
      </c>
      <c r="E41" s="6" t="s">
        <v>12</v>
      </c>
      <c r="F41" s="6" t="s">
        <v>55</v>
      </c>
      <c r="G41" s="6" t="s">
        <v>173</v>
      </c>
      <c r="H41" s="6" t="s">
        <v>834</v>
      </c>
      <c r="I41" s="5" t="s">
        <v>835</v>
      </c>
      <c r="J41" s="6" t="s">
        <v>17</v>
      </c>
    </row>
    <row r="42" spans="1:10" x14ac:dyDescent="0.2">
      <c r="A42" s="4">
        <v>41</v>
      </c>
      <c r="B42" s="7" t="s">
        <v>1008</v>
      </c>
      <c r="C42" s="4" t="s">
        <v>847</v>
      </c>
      <c r="D42" s="6" t="s">
        <v>848</v>
      </c>
      <c r="E42" s="6" t="s">
        <v>34</v>
      </c>
      <c r="F42" s="6" t="s">
        <v>55</v>
      </c>
      <c r="G42" s="6" t="s">
        <v>844</v>
      </c>
      <c r="H42" s="6" t="s">
        <v>845</v>
      </c>
      <c r="I42" s="5" t="s">
        <v>846</v>
      </c>
      <c r="J42" s="6" t="s">
        <v>17</v>
      </c>
    </row>
    <row r="43" spans="1:10" x14ac:dyDescent="0.2">
      <c r="A43" s="4">
        <v>42</v>
      </c>
      <c r="B43" s="7" t="s">
        <v>1008</v>
      </c>
      <c r="C43" s="4" t="s">
        <v>853</v>
      </c>
      <c r="D43" s="6" t="s">
        <v>854</v>
      </c>
      <c r="E43" s="6" t="s">
        <v>34</v>
      </c>
      <c r="F43" s="6" t="s">
        <v>55</v>
      </c>
      <c r="G43" s="6" t="s">
        <v>20</v>
      </c>
      <c r="H43" s="6" t="s">
        <v>851</v>
      </c>
      <c r="I43" s="5" t="s">
        <v>852</v>
      </c>
      <c r="J43" s="6" t="s">
        <v>17</v>
      </c>
    </row>
    <row r="44" spans="1:10" x14ac:dyDescent="0.2">
      <c r="A44" s="4">
        <v>43</v>
      </c>
      <c r="B44" s="7" t="s">
        <v>1008</v>
      </c>
      <c r="C44" s="4" t="s">
        <v>870</v>
      </c>
      <c r="D44" s="6" t="s">
        <v>871</v>
      </c>
      <c r="E44" s="6" t="s">
        <v>34</v>
      </c>
      <c r="F44" s="6" t="s">
        <v>55</v>
      </c>
      <c r="G44" s="6" t="s">
        <v>20</v>
      </c>
      <c r="H44" s="6" t="s">
        <v>868</v>
      </c>
      <c r="I44" s="5" t="s">
        <v>872</v>
      </c>
      <c r="J44" s="6" t="s">
        <v>17</v>
      </c>
    </row>
    <row r="45" spans="1:10" x14ac:dyDescent="0.2">
      <c r="A45" s="4">
        <v>44</v>
      </c>
      <c r="B45" s="7" t="s">
        <v>1008</v>
      </c>
      <c r="C45" s="4" t="s">
        <v>901</v>
      </c>
      <c r="D45" s="6" t="s">
        <v>902</v>
      </c>
      <c r="E45" s="6" t="s">
        <v>12</v>
      </c>
      <c r="F45" s="6" t="s">
        <v>55</v>
      </c>
      <c r="G45" s="6" t="s">
        <v>898</v>
      </c>
      <c r="H45" s="6" t="s">
        <v>899</v>
      </c>
      <c r="I45" s="5" t="s">
        <v>900</v>
      </c>
      <c r="J45" s="6" t="s">
        <v>17</v>
      </c>
    </row>
    <row r="46" spans="1:10" x14ac:dyDescent="0.2">
      <c r="A46" s="4">
        <v>45</v>
      </c>
      <c r="B46" s="7" t="s">
        <v>1008</v>
      </c>
      <c r="C46" s="4" t="s">
        <v>938</v>
      </c>
      <c r="D46" s="6" t="s">
        <v>939</v>
      </c>
      <c r="E46" s="6" t="s">
        <v>34</v>
      </c>
      <c r="F46" s="6" t="s">
        <v>55</v>
      </c>
      <c r="G46" s="6" t="s">
        <v>24</v>
      </c>
      <c r="H46" s="6" t="s">
        <v>940</v>
      </c>
      <c r="I46" s="5" t="s">
        <v>941</v>
      </c>
      <c r="J46" s="6" t="s">
        <v>17</v>
      </c>
    </row>
    <row r="47" spans="1:10" x14ac:dyDescent="0.2">
      <c r="A47" s="4">
        <v>46</v>
      </c>
      <c r="B47" s="7" t="s">
        <v>1008</v>
      </c>
      <c r="C47" s="4" t="s">
        <v>958</v>
      </c>
      <c r="D47" s="6" t="s">
        <v>959</v>
      </c>
      <c r="E47" s="6" t="s">
        <v>34</v>
      </c>
      <c r="F47" s="6" t="s">
        <v>55</v>
      </c>
      <c r="G47" s="6" t="s">
        <v>20</v>
      </c>
      <c r="H47" s="6" t="s">
        <v>956</v>
      </c>
      <c r="I47" s="5" t="s">
        <v>957</v>
      </c>
      <c r="J47" s="6" t="s">
        <v>17</v>
      </c>
    </row>
    <row r="48" spans="1:10" x14ac:dyDescent="0.2">
      <c r="A48" s="4">
        <v>47</v>
      </c>
      <c r="B48" s="7" t="s">
        <v>1008</v>
      </c>
      <c r="C48" s="4" t="s">
        <v>983</v>
      </c>
      <c r="D48" s="6" t="s">
        <v>984</v>
      </c>
      <c r="E48" s="6" t="s">
        <v>34</v>
      </c>
      <c r="F48" s="6" t="s">
        <v>55</v>
      </c>
      <c r="G48" s="6" t="s">
        <v>47</v>
      </c>
      <c r="H48" s="6" t="s">
        <v>981</v>
      </c>
      <c r="I48" s="5" t="s">
        <v>982</v>
      </c>
      <c r="J48" s="6" t="s">
        <v>17</v>
      </c>
    </row>
  </sheetData>
  <phoneticPr fontId="2" type="noConversion"/>
  <pageMargins left="0.7" right="0.7" top="0.75" bottom="0.75" header="0.3" footer="0.3"/>
  <pageSetup paperSize="9" orientation="portrait" horizontalDpi="0" verticalDpi="0"/>
  <ignoredErrors>
    <ignoredError sqref="A1:J1 A39:A48 A2 C2:J2 A3:A13 C3:J13 A14 C14:J14 A15:A25 C15:J25 A26 C26:J26 A27:A37 C27:J37 A38 C38:J38 C39:J4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4"/>
  <sheetViews>
    <sheetView topLeftCell="A4" workbookViewId="0">
      <selection activeCell="F33" sqref="F33"/>
    </sheetView>
  </sheetViews>
  <sheetFormatPr baseColWidth="10" defaultRowHeight="15" x14ac:dyDescent="0.2"/>
  <cols>
    <col min="1" max="2" width="6.83203125" customWidth="1"/>
    <col min="3" max="4" width="10.83203125" customWidth="1"/>
    <col min="5" max="5" width="6.83203125" customWidth="1"/>
    <col min="6" max="6" width="8.83203125" customWidth="1"/>
    <col min="7" max="7" width="17.83203125" customWidth="1"/>
    <col min="8" max="8" width="10.83203125" customWidth="1"/>
    <col min="9" max="10" width="15.83203125" customWidth="1"/>
  </cols>
  <sheetData>
    <row r="1" spans="1:10" x14ac:dyDescent="0.2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2">
      <c r="A2" s="4">
        <v>1</v>
      </c>
      <c r="B2" s="7" t="s">
        <v>1009</v>
      </c>
      <c r="C2" s="4" t="s">
        <v>10</v>
      </c>
      <c r="D2" s="6" t="s">
        <v>45</v>
      </c>
      <c r="E2" s="6" t="s">
        <v>12</v>
      </c>
      <c r="F2" s="6" t="s">
        <v>46</v>
      </c>
      <c r="G2" s="6" t="s">
        <v>47</v>
      </c>
      <c r="H2" s="6" t="s">
        <v>48</v>
      </c>
      <c r="I2" s="5" t="s">
        <v>49</v>
      </c>
      <c r="J2" s="6" t="s">
        <v>17</v>
      </c>
    </row>
    <row r="3" spans="1:10" x14ac:dyDescent="0.2">
      <c r="A3" s="4">
        <v>2</v>
      </c>
      <c r="B3" s="7" t="s">
        <v>1009</v>
      </c>
      <c r="C3" s="4" t="s">
        <v>10</v>
      </c>
      <c r="D3" s="6" t="s">
        <v>109</v>
      </c>
      <c r="E3" s="6" t="s">
        <v>12</v>
      </c>
      <c r="F3" s="6" t="s">
        <v>46</v>
      </c>
      <c r="G3" s="6" t="s">
        <v>110</v>
      </c>
      <c r="H3" s="6" t="s">
        <v>111</v>
      </c>
      <c r="I3" s="5" t="s">
        <v>112</v>
      </c>
      <c r="J3" s="6" t="s">
        <v>17</v>
      </c>
    </row>
    <row r="4" spans="1:10" x14ac:dyDescent="0.2">
      <c r="A4" s="4">
        <v>3</v>
      </c>
      <c r="B4" s="7" t="s">
        <v>1009</v>
      </c>
      <c r="C4" s="4" t="s">
        <v>10</v>
      </c>
      <c r="D4" s="6" t="s">
        <v>120</v>
      </c>
      <c r="E4" s="6" t="s">
        <v>12</v>
      </c>
      <c r="F4" s="6" t="s">
        <v>46</v>
      </c>
      <c r="G4" s="6" t="s">
        <v>24</v>
      </c>
      <c r="H4" s="6" t="s">
        <v>121</v>
      </c>
      <c r="I4" s="5" t="s">
        <v>122</v>
      </c>
      <c r="J4" s="6" t="s">
        <v>17</v>
      </c>
    </row>
    <row r="5" spans="1:10" x14ac:dyDescent="0.2">
      <c r="A5" s="4">
        <v>4</v>
      </c>
      <c r="B5" s="7" t="s">
        <v>1009</v>
      </c>
      <c r="C5" s="4" t="s">
        <v>141</v>
      </c>
      <c r="D5" s="6" t="s">
        <v>142</v>
      </c>
      <c r="E5" s="6" t="s">
        <v>12</v>
      </c>
      <c r="F5" s="6" t="s">
        <v>46</v>
      </c>
      <c r="G5" s="6" t="s">
        <v>67</v>
      </c>
      <c r="H5" s="6" t="s">
        <v>143</v>
      </c>
      <c r="I5" s="5" t="s">
        <v>144</v>
      </c>
      <c r="J5" s="6" t="s">
        <v>17</v>
      </c>
    </row>
    <row r="6" spans="1:10" x14ac:dyDescent="0.2">
      <c r="A6" s="4">
        <v>5</v>
      </c>
      <c r="B6" s="7" t="s">
        <v>1009</v>
      </c>
      <c r="C6" s="4" t="s">
        <v>145</v>
      </c>
      <c r="D6" s="6" t="s">
        <v>146</v>
      </c>
      <c r="E6" s="6" t="s">
        <v>12</v>
      </c>
      <c r="F6" s="6" t="s">
        <v>46</v>
      </c>
      <c r="G6" s="6" t="s">
        <v>147</v>
      </c>
      <c r="H6" s="6" t="s">
        <v>148</v>
      </c>
      <c r="I6" s="5" t="s">
        <v>149</v>
      </c>
      <c r="J6" s="6" t="s">
        <v>17</v>
      </c>
    </row>
    <row r="7" spans="1:10" x14ac:dyDescent="0.2">
      <c r="A7" s="4">
        <v>6</v>
      </c>
      <c r="B7" s="7" t="s">
        <v>1009</v>
      </c>
      <c r="C7" s="4" t="s">
        <v>155</v>
      </c>
      <c r="D7" s="6" t="s">
        <v>156</v>
      </c>
      <c r="E7" s="6" t="s">
        <v>12</v>
      </c>
      <c r="F7" s="6" t="s">
        <v>46</v>
      </c>
      <c r="G7" s="6" t="s">
        <v>157</v>
      </c>
      <c r="H7" s="6" t="s">
        <v>158</v>
      </c>
      <c r="I7" s="5" t="s">
        <v>159</v>
      </c>
      <c r="J7" s="6" t="s">
        <v>17</v>
      </c>
    </row>
    <row r="8" spans="1:10" x14ac:dyDescent="0.2">
      <c r="A8" s="4">
        <v>7</v>
      </c>
      <c r="B8" s="7" t="s">
        <v>1009</v>
      </c>
      <c r="C8" s="4" t="s">
        <v>179</v>
      </c>
      <c r="D8" s="6" t="s">
        <v>180</v>
      </c>
      <c r="E8" s="6" t="s">
        <v>12</v>
      </c>
      <c r="F8" s="6" t="s">
        <v>46</v>
      </c>
      <c r="G8" s="6" t="s">
        <v>176</v>
      </c>
      <c r="H8" s="6" t="s">
        <v>181</v>
      </c>
      <c r="I8" s="5" t="s">
        <v>182</v>
      </c>
      <c r="J8" s="6" t="s">
        <v>17</v>
      </c>
    </row>
    <row r="9" spans="1:10" x14ac:dyDescent="0.2">
      <c r="A9" s="4">
        <v>8</v>
      </c>
      <c r="B9" s="7" t="s">
        <v>1009</v>
      </c>
      <c r="C9" s="4" t="s">
        <v>183</v>
      </c>
      <c r="D9" s="6" t="s">
        <v>184</v>
      </c>
      <c r="E9" s="6" t="s">
        <v>12</v>
      </c>
      <c r="F9" s="6" t="s">
        <v>46</v>
      </c>
      <c r="G9" s="6" t="s">
        <v>185</v>
      </c>
      <c r="H9" s="6" t="s">
        <v>186</v>
      </c>
      <c r="I9" s="5" t="s">
        <v>187</v>
      </c>
      <c r="J9" s="6" t="s">
        <v>17</v>
      </c>
    </row>
    <row r="10" spans="1:10" x14ac:dyDescent="0.2">
      <c r="A10" s="4">
        <v>9</v>
      </c>
      <c r="B10" s="7" t="s">
        <v>1009</v>
      </c>
      <c r="C10" s="4" t="s">
        <v>188</v>
      </c>
      <c r="D10" s="6" t="s">
        <v>189</v>
      </c>
      <c r="E10" s="6" t="s">
        <v>12</v>
      </c>
      <c r="F10" s="6" t="s">
        <v>46</v>
      </c>
      <c r="G10" s="6" t="s">
        <v>185</v>
      </c>
      <c r="H10" s="6" t="s">
        <v>186</v>
      </c>
      <c r="I10" s="5" t="s">
        <v>187</v>
      </c>
      <c r="J10" s="6" t="s">
        <v>17</v>
      </c>
    </row>
    <row r="11" spans="1:10" x14ac:dyDescent="0.2">
      <c r="A11" s="4">
        <v>10</v>
      </c>
      <c r="B11" s="7" t="s">
        <v>1009</v>
      </c>
      <c r="C11" s="4" t="s">
        <v>215</v>
      </c>
      <c r="D11" s="6" t="s">
        <v>216</v>
      </c>
      <c r="E11" s="6" t="s">
        <v>12</v>
      </c>
      <c r="F11" s="6" t="s">
        <v>46</v>
      </c>
      <c r="G11" s="6" t="s">
        <v>212</v>
      </c>
      <c r="H11" s="6" t="s">
        <v>213</v>
      </c>
      <c r="I11" s="5" t="s">
        <v>214</v>
      </c>
      <c r="J11" s="6" t="s">
        <v>17</v>
      </c>
    </row>
    <row r="12" spans="1:10" x14ac:dyDescent="0.2">
      <c r="A12" s="4">
        <v>11</v>
      </c>
      <c r="B12" s="7" t="s">
        <v>1009</v>
      </c>
      <c r="C12" s="4" t="s">
        <v>236</v>
      </c>
      <c r="D12" s="6" t="s">
        <v>237</v>
      </c>
      <c r="E12" s="6" t="s">
        <v>12</v>
      </c>
      <c r="F12" s="6" t="s">
        <v>46</v>
      </c>
      <c r="G12" s="6" t="s">
        <v>88</v>
      </c>
      <c r="H12" s="6" t="s">
        <v>238</v>
      </c>
      <c r="I12" s="5" t="s">
        <v>239</v>
      </c>
      <c r="J12" s="6" t="s">
        <v>17</v>
      </c>
    </row>
    <row r="13" spans="1:10" x14ac:dyDescent="0.2">
      <c r="A13" s="4">
        <v>12</v>
      </c>
      <c r="B13" s="7" t="s">
        <v>1009</v>
      </c>
      <c r="C13" s="4" t="s">
        <v>275</v>
      </c>
      <c r="D13" s="6" t="s">
        <v>276</v>
      </c>
      <c r="E13" s="6" t="s">
        <v>12</v>
      </c>
      <c r="F13" s="6" t="s">
        <v>46</v>
      </c>
      <c r="G13" s="6" t="s">
        <v>157</v>
      </c>
      <c r="H13" s="6" t="s">
        <v>273</v>
      </c>
      <c r="I13" s="5" t="s">
        <v>274</v>
      </c>
      <c r="J13" s="6" t="s">
        <v>17</v>
      </c>
    </row>
    <row r="14" spans="1:10" x14ac:dyDescent="0.2">
      <c r="A14" s="4">
        <v>13</v>
      </c>
      <c r="B14" s="7" t="s">
        <v>1010</v>
      </c>
      <c r="C14" s="4" t="s">
        <v>290</v>
      </c>
      <c r="D14" s="6" t="s">
        <v>291</v>
      </c>
      <c r="E14" s="6" t="s">
        <v>34</v>
      </c>
      <c r="F14" s="6" t="s">
        <v>46</v>
      </c>
      <c r="G14" s="6" t="s">
        <v>157</v>
      </c>
      <c r="H14" s="6" t="s">
        <v>292</v>
      </c>
      <c r="I14" s="5" t="s">
        <v>293</v>
      </c>
      <c r="J14" s="6" t="s">
        <v>294</v>
      </c>
    </row>
    <row r="15" spans="1:10" x14ac:dyDescent="0.2">
      <c r="A15" s="4">
        <v>14</v>
      </c>
      <c r="B15" s="7" t="s">
        <v>1010</v>
      </c>
      <c r="C15" s="4" t="s">
        <v>454</v>
      </c>
      <c r="D15" s="6" t="s">
        <v>455</v>
      </c>
      <c r="E15" s="6" t="s">
        <v>12</v>
      </c>
      <c r="F15" s="6" t="s">
        <v>46</v>
      </c>
      <c r="G15" s="6" t="s">
        <v>456</v>
      </c>
      <c r="H15" s="6" t="s">
        <v>457</v>
      </c>
      <c r="I15" s="5" t="s">
        <v>458</v>
      </c>
      <c r="J15" s="6" t="s">
        <v>17</v>
      </c>
    </row>
    <row r="16" spans="1:10" x14ac:dyDescent="0.2">
      <c r="A16" s="4">
        <v>15</v>
      </c>
      <c r="B16" s="7" t="s">
        <v>1010</v>
      </c>
      <c r="C16" s="4" t="s">
        <v>476</v>
      </c>
      <c r="D16" s="6" t="s">
        <v>477</v>
      </c>
      <c r="E16" s="6" t="s">
        <v>12</v>
      </c>
      <c r="F16" s="6" t="s">
        <v>46</v>
      </c>
      <c r="G16" s="6" t="s">
        <v>131</v>
      </c>
      <c r="H16" s="6" t="s">
        <v>474</v>
      </c>
      <c r="I16" s="5" t="s">
        <v>475</v>
      </c>
      <c r="J16" s="6" t="s">
        <v>17</v>
      </c>
    </row>
    <row r="17" spans="1:10" x14ac:dyDescent="0.2">
      <c r="A17" s="4">
        <v>16</v>
      </c>
      <c r="B17" s="7" t="s">
        <v>1010</v>
      </c>
      <c r="C17" s="4" t="s">
        <v>488</v>
      </c>
      <c r="D17" s="6" t="s">
        <v>489</v>
      </c>
      <c r="E17" s="6" t="s">
        <v>12</v>
      </c>
      <c r="F17" s="6" t="s">
        <v>46</v>
      </c>
      <c r="G17" s="6" t="s">
        <v>173</v>
      </c>
      <c r="H17" s="6" t="s">
        <v>486</v>
      </c>
      <c r="I17" s="5" t="s">
        <v>487</v>
      </c>
      <c r="J17" s="6" t="s">
        <v>17</v>
      </c>
    </row>
    <row r="18" spans="1:10" x14ac:dyDescent="0.2">
      <c r="A18" s="4">
        <v>17</v>
      </c>
      <c r="B18" s="7" t="s">
        <v>1010</v>
      </c>
      <c r="C18" s="4" t="s">
        <v>490</v>
      </c>
      <c r="D18" s="6" t="s">
        <v>491</v>
      </c>
      <c r="E18" s="6" t="s">
        <v>34</v>
      </c>
      <c r="F18" s="6" t="s">
        <v>46</v>
      </c>
      <c r="G18" s="6" t="s">
        <v>492</v>
      </c>
      <c r="H18" s="6" t="s">
        <v>493</v>
      </c>
      <c r="I18" s="5" t="s">
        <v>494</v>
      </c>
      <c r="J18" s="6" t="s">
        <v>17</v>
      </c>
    </row>
    <row r="19" spans="1:10" x14ac:dyDescent="0.2">
      <c r="A19" s="4">
        <v>18</v>
      </c>
      <c r="B19" s="7" t="s">
        <v>1010</v>
      </c>
      <c r="C19" s="4" t="s">
        <v>510</v>
      </c>
      <c r="D19" s="6" t="s">
        <v>511</v>
      </c>
      <c r="E19" s="6" t="s">
        <v>12</v>
      </c>
      <c r="F19" s="6" t="s">
        <v>46</v>
      </c>
      <c r="G19" s="6" t="s">
        <v>173</v>
      </c>
      <c r="H19" s="6" t="s">
        <v>512</v>
      </c>
      <c r="I19" s="5" t="s">
        <v>513</v>
      </c>
      <c r="J19" s="6" t="s">
        <v>17</v>
      </c>
    </row>
    <row r="20" spans="1:10" x14ac:dyDescent="0.2">
      <c r="A20" s="4">
        <v>19</v>
      </c>
      <c r="B20" s="7" t="s">
        <v>1010</v>
      </c>
      <c r="C20" s="4" t="s">
        <v>530</v>
      </c>
      <c r="D20" s="6" t="s">
        <v>531</v>
      </c>
      <c r="E20" s="6" t="s">
        <v>34</v>
      </c>
      <c r="F20" s="6" t="s">
        <v>46</v>
      </c>
      <c r="G20" s="6" t="s">
        <v>20</v>
      </c>
      <c r="H20" s="6" t="s">
        <v>532</v>
      </c>
      <c r="I20" s="5" t="s">
        <v>533</v>
      </c>
      <c r="J20" s="6" t="s">
        <v>17</v>
      </c>
    </row>
    <row r="21" spans="1:10" x14ac:dyDescent="0.2">
      <c r="A21" s="4">
        <v>20</v>
      </c>
      <c r="B21" s="7" t="s">
        <v>1010</v>
      </c>
      <c r="C21" s="4" t="s">
        <v>542</v>
      </c>
      <c r="D21" s="6" t="s">
        <v>543</v>
      </c>
      <c r="E21" s="6" t="s">
        <v>34</v>
      </c>
      <c r="F21" s="6" t="s">
        <v>46</v>
      </c>
      <c r="G21" s="6" t="s">
        <v>544</v>
      </c>
      <c r="H21" s="6" t="s">
        <v>545</v>
      </c>
      <c r="I21" s="5" t="s">
        <v>546</v>
      </c>
      <c r="J21" s="6" t="s">
        <v>17</v>
      </c>
    </row>
    <row r="22" spans="1:10" x14ac:dyDescent="0.2">
      <c r="A22" s="4">
        <v>21</v>
      </c>
      <c r="B22" s="7" t="s">
        <v>1010</v>
      </c>
      <c r="C22" s="4" t="s">
        <v>610</v>
      </c>
      <c r="D22" s="6" t="s">
        <v>611</v>
      </c>
      <c r="E22" s="6" t="s">
        <v>12</v>
      </c>
      <c r="F22" s="6" t="s">
        <v>46</v>
      </c>
      <c r="G22" s="6" t="s">
        <v>607</v>
      </c>
      <c r="H22" s="6" t="s">
        <v>608</v>
      </c>
      <c r="I22" s="5" t="s">
        <v>609</v>
      </c>
      <c r="J22" s="6" t="s">
        <v>17</v>
      </c>
    </row>
    <row r="23" spans="1:10" x14ac:dyDescent="0.2">
      <c r="A23" s="4">
        <v>22</v>
      </c>
      <c r="B23" s="7" t="s">
        <v>1010</v>
      </c>
      <c r="C23" s="4" t="s">
        <v>612</v>
      </c>
      <c r="D23" s="6" t="s">
        <v>613</v>
      </c>
      <c r="E23" s="6" t="s">
        <v>34</v>
      </c>
      <c r="F23" s="6" t="s">
        <v>46</v>
      </c>
      <c r="G23" s="6" t="s">
        <v>176</v>
      </c>
      <c r="H23" s="6" t="s">
        <v>614</v>
      </c>
      <c r="I23" s="5" t="s">
        <v>615</v>
      </c>
      <c r="J23" s="6" t="s">
        <v>17</v>
      </c>
    </row>
    <row r="24" spans="1:10" x14ac:dyDescent="0.2">
      <c r="A24" s="4">
        <v>23</v>
      </c>
      <c r="B24" s="7" t="s">
        <v>1010</v>
      </c>
      <c r="C24" s="4" t="s">
        <v>623</v>
      </c>
      <c r="D24" s="6" t="s">
        <v>624</v>
      </c>
      <c r="E24" s="6" t="s">
        <v>34</v>
      </c>
      <c r="F24" s="6" t="s">
        <v>46</v>
      </c>
      <c r="G24" s="6" t="s">
        <v>625</v>
      </c>
      <c r="H24" s="6" t="s">
        <v>252</v>
      </c>
      <c r="I24" s="5" t="s">
        <v>253</v>
      </c>
      <c r="J24" s="6" t="s">
        <v>17</v>
      </c>
    </row>
    <row r="25" spans="1:10" x14ac:dyDescent="0.2">
      <c r="A25" s="4">
        <v>24</v>
      </c>
      <c r="B25" s="7" t="s">
        <v>1010</v>
      </c>
      <c r="C25" s="4" t="s">
        <v>703</v>
      </c>
      <c r="D25" s="6" t="s">
        <v>704</v>
      </c>
      <c r="E25" s="6" t="s">
        <v>12</v>
      </c>
      <c r="F25" s="6" t="s">
        <v>46</v>
      </c>
      <c r="G25" s="6" t="s">
        <v>98</v>
      </c>
      <c r="H25" s="6" t="s">
        <v>705</v>
      </c>
      <c r="I25" s="5" t="s">
        <v>706</v>
      </c>
      <c r="J25" s="6" t="s">
        <v>17</v>
      </c>
    </row>
    <row r="26" spans="1:10" x14ac:dyDescent="0.2">
      <c r="A26" s="4">
        <v>25</v>
      </c>
      <c r="B26" s="7" t="s">
        <v>1011</v>
      </c>
      <c r="C26" s="4" t="s">
        <v>721</v>
      </c>
      <c r="D26" s="6" t="s">
        <v>722</v>
      </c>
      <c r="E26" s="6" t="s">
        <v>34</v>
      </c>
      <c r="F26" s="6" t="s">
        <v>46</v>
      </c>
      <c r="G26" s="6" t="s">
        <v>131</v>
      </c>
      <c r="H26" s="6" t="s">
        <v>719</v>
      </c>
      <c r="I26" s="5" t="s">
        <v>720</v>
      </c>
      <c r="J26" s="6" t="s">
        <v>17</v>
      </c>
    </row>
    <row r="27" spans="1:10" x14ac:dyDescent="0.2">
      <c r="A27" s="4">
        <v>26</v>
      </c>
      <c r="B27" s="7" t="s">
        <v>1011</v>
      </c>
      <c r="C27" s="4" t="s">
        <v>759</v>
      </c>
      <c r="D27" s="6" t="s">
        <v>760</v>
      </c>
      <c r="E27" s="6" t="s">
        <v>12</v>
      </c>
      <c r="F27" s="6" t="s">
        <v>46</v>
      </c>
      <c r="G27" s="6" t="s">
        <v>176</v>
      </c>
      <c r="H27" s="6" t="s">
        <v>757</v>
      </c>
      <c r="I27" s="5" t="s">
        <v>758</v>
      </c>
      <c r="J27" s="6" t="s">
        <v>17</v>
      </c>
    </row>
    <row r="28" spans="1:10" x14ac:dyDescent="0.2">
      <c r="A28" s="4">
        <v>27</v>
      </c>
      <c r="B28" s="7" t="s">
        <v>1011</v>
      </c>
      <c r="C28" s="4" t="s">
        <v>766</v>
      </c>
      <c r="D28" s="6" t="s">
        <v>767</v>
      </c>
      <c r="E28" s="6" t="s">
        <v>12</v>
      </c>
      <c r="F28" s="6" t="s">
        <v>46</v>
      </c>
      <c r="G28" s="6" t="s">
        <v>768</v>
      </c>
      <c r="H28" s="6" t="s">
        <v>769</v>
      </c>
      <c r="I28" s="5" t="s">
        <v>770</v>
      </c>
      <c r="J28" s="6" t="s">
        <v>17</v>
      </c>
    </row>
    <row r="29" spans="1:10" x14ac:dyDescent="0.2">
      <c r="A29" s="4">
        <v>28</v>
      </c>
      <c r="B29" s="7" t="s">
        <v>1011</v>
      </c>
      <c r="C29" s="4" t="s">
        <v>793</v>
      </c>
      <c r="D29" s="6" t="s">
        <v>794</v>
      </c>
      <c r="E29" s="6" t="s">
        <v>12</v>
      </c>
      <c r="F29" s="6" t="s">
        <v>46</v>
      </c>
      <c r="G29" s="6" t="s">
        <v>56</v>
      </c>
      <c r="H29" s="6" t="s">
        <v>795</v>
      </c>
      <c r="I29" s="5" t="s">
        <v>796</v>
      </c>
      <c r="J29" s="6" t="s">
        <v>17</v>
      </c>
    </row>
    <row r="30" spans="1:10" x14ac:dyDescent="0.2">
      <c r="A30" s="4">
        <v>29</v>
      </c>
      <c r="B30" s="7" t="s">
        <v>1011</v>
      </c>
      <c r="C30" s="4" t="s">
        <v>797</v>
      </c>
      <c r="D30" s="6" t="s">
        <v>798</v>
      </c>
      <c r="E30" s="6" t="s">
        <v>34</v>
      </c>
      <c r="F30" s="6" t="s">
        <v>46</v>
      </c>
      <c r="G30" s="6" t="s">
        <v>799</v>
      </c>
      <c r="H30" s="6" t="s">
        <v>800</v>
      </c>
      <c r="I30" s="5" t="s">
        <v>801</v>
      </c>
      <c r="J30" s="6" t="s">
        <v>17</v>
      </c>
    </row>
    <row r="31" spans="1:10" x14ac:dyDescent="0.2">
      <c r="A31" s="4">
        <v>30</v>
      </c>
      <c r="B31" s="7" t="s">
        <v>1011</v>
      </c>
      <c r="C31" s="4" t="s">
        <v>838</v>
      </c>
      <c r="D31" s="6" t="s">
        <v>839</v>
      </c>
      <c r="E31" s="6" t="s">
        <v>34</v>
      </c>
      <c r="F31" s="6" t="s">
        <v>46</v>
      </c>
      <c r="G31" s="6" t="s">
        <v>840</v>
      </c>
      <c r="H31" s="6" t="s">
        <v>17</v>
      </c>
      <c r="I31" s="5" t="s">
        <v>841</v>
      </c>
      <c r="J31" s="6" t="s">
        <v>17</v>
      </c>
    </row>
    <row r="32" spans="1:10" x14ac:dyDescent="0.2">
      <c r="A32" s="4">
        <v>31</v>
      </c>
      <c r="B32" s="7" t="s">
        <v>1011</v>
      </c>
      <c r="C32" s="4" t="s">
        <v>855</v>
      </c>
      <c r="D32" s="6" t="s">
        <v>856</v>
      </c>
      <c r="E32" s="6" t="s">
        <v>12</v>
      </c>
      <c r="F32" s="6" t="s">
        <v>46</v>
      </c>
      <c r="G32" s="6" t="s">
        <v>56</v>
      </c>
      <c r="H32" s="6" t="s">
        <v>857</v>
      </c>
      <c r="I32" s="5" t="s">
        <v>796</v>
      </c>
      <c r="J32" s="6" t="s">
        <v>17</v>
      </c>
    </row>
    <row r="33" spans="1:10" x14ac:dyDescent="0.2">
      <c r="A33" s="4">
        <v>32</v>
      </c>
      <c r="B33" s="7" t="s">
        <v>1011</v>
      </c>
      <c r="C33" s="4" t="s">
        <v>930</v>
      </c>
      <c r="D33" s="6" t="s">
        <v>931</v>
      </c>
      <c r="E33" s="6" t="s">
        <v>34</v>
      </c>
      <c r="F33" s="6" t="s">
        <v>46</v>
      </c>
      <c r="G33" s="6" t="s">
        <v>147</v>
      </c>
      <c r="H33" s="6" t="s">
        <v>932</v>
      </c>
      <c r="I33" s="5" t="s">
        <v>933</v>
      </c>
      <c r="J33" s="6" t="s">
        <v>17</v>
      </c>
    </row>
    <row r="34" spans="1:10" x14ac:dyDescent="0.2">
      <c r="A34" s="4">
        <v>33</v>
      </c>
      <c r="B34" s="7" t="s">
        <v>1011</v>
      </c>
      <c r="C34" s="4" t="s">
        <v>970</v>
      </c>
      <c r="D34" s="6" t="s">
        <v>971</v>
      </c>
      <c r="E34" s="6" t="s">
        <v>12</v>
      </c>
      <c r="F34" s="6" t="s">
        <v>46</v>
      </c>
      <c r="G34" s="6" t="s">
        <v>157</v>
      </c>
      <c r="H34" s="6" t="s">
        <v>972</v>
      </c>
      <c r="I34" s="5" t="s">
        <v>973</v>
      </c>
      <c r="J34" s="6" t="s">
        <v>17</v>
      </c>
    </row>
  </sheetData>
  <phoneticPr fontId="2" type="noConversion"/>
  <pageMargins left="0.7" right="0.7" top="0.75" bottom="0.75" header="0.3" footer="0.3"/>
  <pageSetup paperSize="9" orientation="portrait" horizontalDpi="0" verticalDpi="0"/>
  <ignoredErrors>
    <ignoredError sqref="A1:J1 A27:A34 A2 C2:J2 A3:A13 C3:J13 A14 C14:J14 A15:A25 C15:J25 A26 C26:J26 C27:J3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"/>
  <sheetViews>
    <sheetView workbookViewId="0">
      <selection activeCell="G30" sqref="G30"/>
    </sheetView>
  </sheetViews>
  <sheetFormatPr baseColWidth="10" defaultRowHeight="15" x14ac:dyDescent="0.2"/>
  <cols>
    <col min="1" max="2" width="6.83203125" customWidth="1"/>
    <col min="3" max="3" width="10.83203125" customWidth="1"/>
    <col min="4" max="4" width="16.83203125" customWidth="1"/>
    <col min="5" max="5" width="6.83203125" customWidth="1"/>
    <col min="6" max="6" width="8.83203125" customWidth="1"/>
    <col min="7" max="7" width="17.83203125" customWidth="1"/>
    <col min="8" max="8" width="10.83203125" customWidth="1"/>
    <col min="9" max="9" width="15.83203125" customWidth="1"/>
    <col min="10" max="10" width="17.83203125" customWidth="1"/>
  </cols>
  <sheetData>
    <row r="1" spans="1:10" x14ac:dyDescent="0.2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2">
      <c r="A2" s="4">
        <v>1</v>
      </c>
      <c r="B2" s="7" t="s">
        <v>1012</v>
      </c>
      <c r="C2" s="4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5" t="s">
        <v>16</v>
      </c>
      <c r="J2" s="6" t="s">
        <v>17</v>
      </c>
    </row>
    <row r="3" spans="1:10" x14ac:dyDescent="0.2">
      <c r="A3" s="4">
        <v>2</v>
      </c>
      <c r="B3" s="7" t="s">
        <v>1012</v>
      </c>
      <c r="C3" s="4" t="s">
        <v>10</v>
      </c>
      <c r="D3" s="6" t="s">
        <v>87</v>
      </c>
      <c r="E3" s="6" t="s">
        <v>34</v>
      </c>
      <c r="F3" s="6" t="s">
        <v>13</v>
      </c>
      <c r="G3" s="6" t="s">
        <v>88</v>
      </c>
      <c r="H3" s="6" t="s">
        <v>89</v>
      </c>
      <c r="I3" s="5" t="s">
        <v>90</v>
      </c>
      <c r="J3" s="6" t="s">
        <v>17</v>
      </c>
    </row>
    <row r="4" spans="1:10" x14ac:dyDescent="0.2">
      <c r="A4" s="4">
        <v>3</v>
      </c>
      <c r="B4" s="7" t="s">
        <v>1012</v>
      </c>
      <c r="C4" s="4" t="s">
        <v>10</v>
      </c>
      <c r="D4" s="6" t="s">
        <v>92</v>
      </c>
      <c r="E4" s="6" t="s">
        <v>34</v>
      </c>
      <c r="F4" s="6" t="s">
        <v>13</v>
      </c>
      <c r="G4" s="6" t="s">
        <v>93</v>
      </c>
      <c r="H4" s="6" t="s">
        <v>94</v>
      </c>
      <c r="I4" s="5" t="s">
        <v>95</v>
      </c>
      <c r="J4" s="6" t="s">
        <v>17</v>
      </c>
    </row>
    <row r="5" spans="1:10" x14ac:dyDescent="0.2">
      <c r="A5" s="4">
        <v>4</v>
      </c>
      <c r="B5" s="7" t="s">
        <v>1012</v>
      </c>
      <c r="C5" s="4" t="s">
        <v>10</v>
      </c>
      <c r="D5" s="6" t="s">
        <v>96</v>
      </c>
      <c r="E5" s="6" t="s">
        <v>34</v>
      </c>
      <c r="F5" s="6" t="s">
        <v>13</v>
      </c>
      <c r="G5" s="6" t="s">
        <v>93</v>
      </c>
      <c r="H5" s="6" t="s">
        <v>94</v>
      </c>
      <c r="I5" s="5" t="s">
        <v>95</v>
      </c>
      <c r="J5" s="6" t="s">
        <v>17</v>
      </c>
    </row>
    <row r="6" spans="1:10" x14ac:dyDescent="0.2">
      <c r="A6" s="4">
        <v>5</v>
      </c>
      <c r="B6" s="7" t="s">
        <v>1012</v>
      </c>
      <c r="C6" s="4" t="s">
        <v>10</v>
      </c>
      <c r="D6" s="6" t="s">
        <v>101</v>
      </c>
      <c r="E6" s="6" t="s">
        <v>34</v>
      </c>
      <c r="F6" s="6" t="s">
        <v>13</v>
      </c>
      <c r="G6" s="6" t="s">
        <v>102</v>
      </c>
      <c r="H6" s="6" t="s">
        <v>103</v>
      </c>
      <c r="I6" s="5" t="s">
        <v>104</v>
      </c>
      <c r="J6" s="6" t="s">
        <v>17</v>
      </c>
    </row>
    <row r="7" spans="1:10" x14ac:dyDescent="0.2">
      <c r="A7" s="4">
        <v>6</v>
      </c>
      <c r="B7" s="7" t="s">
        <v>1012</v>
      </c>
      <c r="C7" s="4" t="s">
        <v>198</v>
      </c>
      <c r="D7" s="6" t="s">
        <v>199</v>
      </c>
      <c r="E7" s="6" t="s">
        <v>34</v>
      </c>
      <c r="F7" s="6" t="s">
        <v>13</v>
      </c>
      <c r="G7" s="6" t="s">
        <v>195</v>
      </c>
      <c r="H7" s="6" t="s">
        <v>196</v>
      </c>
      <c r="I7" s="5" t="s">
        <v>197</v>
      </c>
      <c r="J7" s="6" t="s">
        <v>17</v>
      </c>
    </row>
    <row r="8" spans="1:10" x14ac:dyDescent="0.2">
      <c r="A8" s="4">
        <v>7</v>
      </c>
      <c r="B8" s="7" t="s">
        <v>1012</v>
      </c>
      <c r="C8" s="4" t="s">
        <v>285</v>
      </c>
      <c r="D8" s="6" t="s">
        <v>286</v>
      </c>
      <c r="E8" s="6" t="s">
        <v>12</v>
      </c>
      <c r="F8" s="6" t="s">
        <v>13</v>
      </c>
      <c r="G8" s="6" t="s">
        <v>157</v>
      </c>
      <c r="H8" s="6" t="s">
        <v>282</v>
      </c>
      <c r="I8" s="5" t="s">
        <v>283</v>
      </c>
      <c r="J8" s="6" t="s">
        <v>287</v>
      </c>
    </row>
    <row r="9" spans="1:10" x14ac:dyDescent="0.2">
      <c r="A9" s="4">
        <v>8</v>
      </c>
      <c r="B9" s="7" t="s">
        <v>1012</v>
      </c>
      <c r="C9" s="4" t="s">
        <v>298</v>
      </c>
      <c r="D9" s="6" t="s">
        <v>299</v>
      </c>
      <c r="E9" s="6" t="s">
        <v>34</v>
      </c>
      <c r="F9" s="6" t="s">
        <v>13</v>
      </c>
      <c r="G9" s="6" t="s">
        <v>88</v>
      </c>
      <c r="H9" s="6" t="s">
        <v>300</v>
      </c>
      <c r="I9" s="5" t="s">
        <v>301</v>
      </c>
      <c r="J9" s="6" t="s">
        <v>302</v>
      </c>
    </row>
    <row r="10" spans="1:10" x14ac:dyDescent="0.2">
      <c r="A10" s="4">
        <v>9</v>
      </c>
      <c r="B10" s="7" t="s">
        <v>1012</v>
      </c>
      <c r="C10" s="4" t="s">
        <v>309</v>
      </c>
      <c r="D10" s="6" t="s">
        <v>310</v>
      </c>
      <c r="E10" s="6" t="s">
        <v>12</v>
      </c>
      <c r="F10" s="6" t="s">
        <v>13</v>
      </c>
      <c r="G10" s="6" t="s">
        <v>98</v>
      </c>
      <c r="H10" s="6" t="s">
        <v>307</v>
      </c>
      <c r="I10" s="5" t="s">
        <v>308</v>
      </c>
      <c r="J10" s="6" t="s">
        <v>17</v>
      </c>
    </row>
    <row r="11" spans="1:10" x14ac:dyDescent="0.2">
      <c r="A11" s="4">
        <v>10</v>
      </c>
      <c r="B11" s="7" t="s">
        <v>1012</v>
      </c>
      <c r="C11" s="4" t="s">
        <v>315</v>
      </c>
      <c r="D11" s="6" t="s">
        <v>316</v>
      </c>
      <c r="E11" s="6" t="s">
        <v>34</v>
      </c>
      <c r="F11" s="6" t="s">
        <v>13</v>
      </c>
      <c r="G11" s="6" t="s">
        <v>176</v>
      </c>
      <c r="H11" s="6" t="s">
        <v>313</v>
      </c>
      <c r="I11" s="5" t="s">
        <v>314</v>
      </c>
      <c r="J11" s="6" t="s">
        <v>17</v>
      </c>
    </row>
    <row r="12" spans="1:10" x14ac:dyDescent="0.2">
      <c r="A12" s="4">
        <v>11</v>
      </c>
      <c r="B12" s="7" t="s">
        <v>1012</v>
      </c>
      <c r="C12" s="4" t="s">
        <v>405</v>
      </c>
      <c r="D12" s="6" t="s">
        <v>406</v>
      </c>
      <c r="E12" s="6" t="s">
        <v>12</v>
      </c>
      <c r="F12" s="6" t="s">
        <v>13</v>
      </c>
      <c r="G12" s="6" t="s">
        <v>24</v>
      </c>
      <c r="H12" s="6" t="s">
        <v>407</v>
      </c>
      <c r="I12" s="5" t="s">
        <v>408</v>
      </c>
      <c r="J12" s="6" t="s">
        <v>17</v>
      </c>
    </row>
    <row r="13" spans="1:10" x14ac:dyDescent="0.2">
      <c r="A13" s="4">
        <v>12</v>
      </c>
      <c r="B13" s="7" t="s">
        <v>1012</v>
      </c>
      <c r="C13" s="4" t="s">
        <v>461</v>
      </c>
      <c r="D13" s="6" t="s">
        <v>462</v>
      </c>
      <c r="E13" s="6" t="s">
        <v>12</v>
      </c>
      <c r="F13" s="6" t="s">
        <v>13</v>
      </c>
      <c r="G13" s="6" t="s">
        <v>157</v>
      </c>
      <c r="H13" s="6" t="s">
        <v>463</v>
      </c>
      <c r="I13" s="5" t="s">
        <v>464</v>
      </c>
      <c r="J13" s="6" t="s">
        <v>17</v>
      </c>
    </row>
    <row r="14" spans="1:10" x14ac:dyDescent="0.2">
      <c r="A14" s="4">
        <v>13</v>
      </c>
      <c r="B14" s="7" t="s">
        <v>1013</v>
      </c>
      <c r="C14" s="4" t="s">
        <v>482</v>
      </c>
      <c r="D14" s="6" t="s">
        <v>483</v>
      </c>
      <c r="E14" s="6" t="s">
        <v>34</v>
      </c>
      <c r="F14" s="6" t="s">
        <v>13</v>
      </c>
      <c r="G14" s="6" t="s">
        <v>157</v>
      </c>
      <c r="H14" s="6" t="s">
        <v>480</v>
      </c>
      <c r="I14" s="5" t="s">
        <v>481</v>
      </c>
      <c r="J14" s="6" t="s">
        <v>17</v>
      </c>
    </row>
    <row r="15" spans="1:10" x14ac:dyDescent="0.2">
      <c r="A15" s="4">
        <v>14</v>
      </c>
      <c r="B15" s="7" t="s">
        <v>1013</v>
      </c>
      <c r="C15" s="4" t="s">
        <v>484</v>
      </c>
      <c r="D15" s="6" t="s">
        <v>485</v>
      </c>
      <c r="E15" s="6" t="s">
        <v>34</v>
      </c>
      <c r="F15" s="6" t="s">
        <v>13</v>
      </c>
      <c r="G15" s="6" t="s">
        <v>173</v>
      </c>
      <c r="H15" s="6" t="s">
        <v>486</v>
      </c>
      <c r="I15" s="5" t="s">
        <v>487</v>
      </c>
      <c r="J15" s="6" t="s">
        <v>17</v>
      </c>
    </row>
    <row r="16" spans="1:10" x14ac:dyDescent="0.2">
      <c r="A16" s="4">
        <v>15</v>
      </c>
      <c r="B16" s="7" t="s">
        <v>1013</v>
      </c>
      <c r="C16" s="4" t="s">
        <v>547</v>
      </c>
      <c r="D16" s="6" t="s">
        <v>548</v>
      </c>
      <c r="E16" s="6" t="s">
        <v>34</v>
      </c>
      <c r="F16" s="6" t="s">
        <v>13</v>
      </c>
      <c r="G16" s="6" t="s">
        <v>544</v>
      </c>
      <c r="H16" s="6" t="s">
        <v>545</v>
      </c>
      <c r="I16" s="5" t="s">
        <v>546</v>
      </c>
      <c r="J16" s="6" t="s">
        <v>17</v>
      </c>
    </row>
    <row r="17" spans="1:10" x14ac:dyDescent="0.2">
      <c r="A17" s="4">
        <v>16</v>
      </c>
      <c r="B17" s="7" t="s">
        <v>1013</v>
      </c>
      <c r="C17" s="4" t="s">
        <v>580</v>
      </c>
      <c r="D17" s="6" t="s">
        <v>581</v>
      </c>
      <c r="E17" s="6" t="s">
        <v>34</v>
      </c>
      <c r="F17" s="6" t="s">
        <v>13</v>
      </c>
      <c r="G17" s="6" t="s">
        <v>14</v>
      </c>
      <c r="H17" s="6" t="s">
        <v>582</v>
      </c>
      <c r="I17" s="5" t="s">
        <v>583</v>
      </c>
      <c r="J17" s="6" t="s">
        <v>17</v>
      </c>
    </row>
    <row r="18" spans="1:10" x14ac:dyDescent="0.2">
      <c r="A18" s="4">
        <v>17</v>
      </c>
      <c r="B18" s="7" t="s">
        <v>1013</v>
      </c>
      <c r="C18" s="4" t="s">
        <v>634</v>
      </c>
      <c r="D18" s="6" t="s">
        <v>635</v>
      </c>
      <c r="E18" s="6" t="s">
        <v>34</v>
      </c>
      <c r="F18" s="6" t="s">
        <v>13</v>
      </c>
      <c r="G18" s="6" t="s">
        <v>323</v>
      </c>
      <c r="H18" s="6" t="s">
        <v>636</v>
      </c>
      <c r="I18" s="5" t="s">
        <v>637</v>
      </c>
      <c r="J18" s="6" t="s">
        <v>17</v>
      </c>
    </row>
    <row r="19" spans="1:10" x14ac:dyDescent="0.2">
      <c r="A19" s="4">
        <v>18</v>
      </c>
      <c r="B19" s="7" t="s">
        <v>1013</v>
      </c>
      <c r="C19" s="4" t="s">
        <v>656</v>
      </c>
      <c r="D19" s="6" t="s">
        <v>657</v>
      </c>
      <c r="E19" s="6" t="s">
        <v>34</v>
      </c>
      <c r="F19" s="6" t="s">
        <v>13</v>
      </c>
      <c r="G19" s="6" t="s">
        <v>653</v>
      </c>
      <c r="H19" s="6" t="s">
        <v>654</v>
      </c>
      <c r="I19" s="5" t="s">
        <v>658</v>
      </c>
      <c r="J19" s="6" t="s">
        <v>17</v>
      </c>
    </row>
    <row r="20" spans="1:10" x14ac:dyDescent="0.2">
      <c r="A20" s="4">
        <v>19</v>
      </c>
      <c r="B20" s="7" t="s">
        <v>1013</v>
      </c>
      <c r="C20" s="4" t="s">
        <v>661</v>
      </c>
      <c r="D20" s="6" t="s">
        <v>662</v>
      </c>
      <c r="E20" s="6" t="s">
        <v>34</v>
      </c>
      <c r="F20" s="6" t="s">
        <v>13</v>
      </c>
      <c r="G20" s="6" t="s">
        <v>131</v>
      </c>
      <c r="H20" s="6" t="s">
        <v>663</v>
      </c>
      <c r="I20" s="5" t="s">
        <v>664</v>
      </c>
      <c r="J20" s="6" t="s">
        <v>17</v>
      </c>
    </row>
    <row r="21" spans="1:10" x14ac:dyDescent="0.2">
      <c r="A21" s="4">
        <v>20</v>
      </c>
      <c r="B21" s="7" t="s">
        <v>1013</v>
      </c>
      <c r="C21" s="4" t="s">
        <v>672</v>
      </c>
      <c r="D21" s="6" t="s">
        <v>673</v>
      </c>
      <c r="E21" s="6" t="s">
        <v>12</v>
      </c>
      <c r="F21" s="6" t="s">
        <v>13</v>
      </c>
      <c r="G21" s="6" t="s">
        <v>67</v>
      </c>
      <c r="H21" s="6" t="s">
        <v>670</v>
      </c>
      <c r="I21" s="5" t="s">
        <v>671</v>
      </c>
      <c r="J21" s="6" t="s">
        <v>17</v>
      </c>
    </row>
    <row r="22" spans="1:10" x14ac:dyDescent="0.2">
      <c r="A22" s="4">
        <v>21</v>
      </c>
      <c r="B22" s="7" t="s">
        <v>1013</v>
      </c>
      <c r="C22" s="4" t="s">
        <v>786</v>
      </c>
      <c r="D22" s="6" t="s">
        <v>787</v>
      </c>
      <c r="E22" s="6" t="s">
        <v>12</v>
      </c>
      <c r="F22" s="6" t="s">
        <v>13</v>
      </c>
      <c r="G22" s="6" t="s">
        <v>131</v>
      </c>
      <c r="H22" s="6" t="s">
        <v>788</v>
      </c>
      <c r="I22" s="5" t="s">
        <v>789</v>
      </c>
      <c r="J22" s="6" t="s">
        <v>17</v>
      </c>
    </row>
    <row r="23" spans="1:10" x14ac:dyDescent="0.2">
      <c r="A23" s="4">
        <v>22</v>
      </c>
      <c r="B23" s="7" t="s">
        <v>1013</v>
      </c>
      <c r="C23" s="4" t="s">
        <v>842</v>
      </c>
      <c r="D23" s="6" t="s">
        <v>843</v>
      </c>
      <c r="E23" s="6" t="s">
        <v>12</v>
      </c>
      <c r="F23" s="6" t="s">
        <v>13</v>
      </c>
      <c r="G23" s="6" t="s">
        <v>844</v>
      </c>
      <c r="H23" s="6" t="s">
        <v>845</v>
      </c>
      <c r="I23" s="5" t="s">
        <v>846</v>
      </c>
      <c r="J23" s="6" t="s">
        <v>17</v>
      </c>
    </row>
    <row r="24" spans="1:10" x14ac:dyDescent="0.2">
      <c r="A24" s="4">
        <v>23</v>
      </c>
      <c r="B24" s="7" t="s">
        <v>1013</v>
      </c>
      <c r="C24" s="4" t="s">
        <v>849</v>
      </c>
      <c r="D24" s="6" t="s">
        <v>850</v>
      </c>
      <c r="E24" s="6" t="s">
        <v>34</v>
      </c>
      <c r="F24" s="6" t="s">
        <v>13</v>
      </c>
      <c r="G24" s="6" t="s">
        <v>20</v>
      </c>
      <c r="H24" s="6" t="s">
        <v>851</v>
      </c>
      <c r="I24" s="5" t="s">
        <v>852</v>
      </c>
      <c r="J24" s="6" t="s">
        <v>17</v>
      </c>
    </row>
    <row r="25" spans="1:10" x14ac:dyDescent="0.2">
      <c r="A25" s="4">
        <v>24</v>
      </c>
      <c r="B25" s="7" t="s">
        <v>1013</v>
      </c>
      <c r="C25" s="4" t="s">
        <v>858</v>
      </c>
      <c r="D25" s="6" t="s">
        <v>859</v>
      </c>
      <c r="E25" s="6" t="s">
        <v>12</v>
      </c>
      <c r="F25" s="6" t="s">
        <v>13</v>
      </c>
      <c r="G25" s="6" t="s">
        <v>24</v>
      </c>
      <c r="H25" s="6" t="s">
        <v>860</v>
      </c>
      <c r="I25" s="5" t="s">
        <v>801</v>
      </c>
      <c r="J25" s="6" t="s">
        <v>17</v>
      </c>
    </row>
    <row r="26" spans="1:10" x14ac:dyDescent="0.2">
      <c r="A26" s="4">
        <v>25</v>
      </c>
      <c r="B26" s="7" t="s">
        <v>1014</v>
      </c>
      <c r="C26" s="4" t="s">
        <v>861</v>
      </c>
      <c r="D26" s="6" t="s">
        <v>862</v>
      </c>
      <c r="E26" s="6" t="s">
        <v>12</v>
      </c>
      <c r="F26" s="6" t="s">
        <v>13</v>
      </c>
      <c r="G26" s="6" t="s">
        <v>863</v>
      </c>
      <c r="H26" s="6" t="s">
        <v>864</v>
      </c>
      <c r="I26" s="5" t="s">
        <v>865</v>
      </c>
      <c r="J26" s="6" t="s">
        <v>17</v>
      </c>
    </row>
    <row r="27" spans="1:10" x14ac:dyDescent="0.2">
      <c r="A27" s="4">
        <v>26</v>
      </c>
      <c r="B27" s="7" t="s">
        <v>1014</v>
      </c>
      <c r="C27" s="4" t="s">
        <v>866</v>
      </c>
      <c r="D27" s="6" t="s">
        <v>867</v>
      </c>
      <c r="E27" s="6" t="s">
        <v>12</v>
      </c>
      <c r="F27" s="6" t="s">
        <v>13</v>
      </c>
      <c r="G27" s="6" t="s">
        <v>20</v>
      </c>
      <c r="H27" s="6" t="s">
        <v>868</v>
      </c>
      <c r="I27" s="5" t="s">
        <v>869</v>
      </c>
      <c r="J27" s="6" t="s">
        <v>17</v>
      </c>
    </row>
    <row r="28" spans="1:10" x14ac:dyDescent="0.2">
      <c r="A28" s="4">
        <v>27</v>
      </c>
      <c r="B28" s="7" t="s">
        <v>1014</v>
      </c>
      <c r="C28" s="4" t="s">
        <v>888</v>
      </c>
      <c r="D28" s="6" t="s">
        <v>889</v>
      </c>
      <c r="E28" s="6" t="s">
        <v>34</v>
      </c>
      <c r="F28" s="6" t="s">
        <v>13</v>
      </c>
      <c r="G28" s="6" t="s">
        <v>885</v>
      </c>
      <c r="H28" s="6" t="s">
        <v>886</v>
      </c>
      <c r="I28" s="5" t="s">
        <v>887</v>
      </c>
      <c r="J28" s="6" t="s">
        <v>17</v>
      </c>
    </row>
    <row r="29" spans="1:10" x14ac:dyDescent="0.2">
      <c r="A29" s="4">
        <v>28</v>
      </c>
      <c r="B29" s="7" t="s">
        <v>1014</v>
      </c>
      <c r="C29" s="4" t="s">
        <v>894</v>
      </c>
      <c r="D29" s="6" t="s">
        <v>895</v>
      </c>
      <c r="E29" s="6" t="s">
        <v>34</v>
      </c>
      <c r="F29" s="6" t="s">
        <v>13</v>
      </c>
      <c r="G29" s="6" t="s">
        <v>212</v>
      </c>
      <c r="H29" s="6" t="s">
        <v>892</v>
      </c>
      <c r="I29" s="5" t="s">
        <v>893</v>
      </c>
      <c r="J29" s="6" t="s">
        <v>17</v>
      </c>
    </row>
    <row r="30" spans="1:10" x14ac:dyDescent="0.2">
      <c r="A30" s="4">
        <v>29</v>
      </c>
      <c r="B30" s="7" t="s">
        <v>1014</v>
      </c>
      <c r="C30" s="4" t="s">
        <v>896</v>
      </c>
      <c r="D30" s="6" t="s">
        <v>897</v>
      </c>
      <c r="E30" s="6" t="s">
        <v>34</v>
      </c>
      <c r="F30" s="6" t="s">
        <v>13</v>
      </c>
      <c r="G30" s="6" t="s">
        <v>898</v>
      </c>
      <c r="H30" s="6" t="s">
        <v>899</v>
      </c>
      <c r="I30" s="5" t="s">
        <v>900</v>
      </c>
      <c r="J30" s="6" t="s">
        <v>17</v>
      </c>
    </row>
    <row r="31" spans="1:10" x14ac:dyDescent="0.2">
      <c r="A31" s="4">
        <v>30</v>
      </c>
      <c r="B31" s="7" t="s">
        <v>1014</v>
      </c>
      <c r="C31" s="4" t="s">
        <v>960</v>
      </c>
      <c r="D31" s="6" t="s">
        <v>961</v>
      </c>
      <c r="E31" s="6" t="s">
        <v>34</v>
      </c>
      <c r="F31" s="6" t="s">
        <v>13</v>
      </c>
      <c r="G31" s="6" t="s">
        <v>98</v>
      </c>
      <c r="H31" s="6" t="s">
        <v>962</v>
      </c>
      <c r="I31" s="5" t="s">
        <v>963</v>
      </c>
      <c r="J31" s="6" t="s">
        <v>17</v>
      </c>
    </row>
  </sheetData>
  <phoneticPr fontId="2" type="noConversion"/>
  <pageMargins left="0.7" right="0.7" top="0.75" bottom="0.75" header="0.3" footer="0.3"/>
  <pageSetup paperSize="9" orientation="portrait" horizontalDpi="0" verticalDpi="0"/>
  <ignoredErrors>
    <ignoredError sqref="A1:J1 A27:A31 A2 C2:J2 A3:A13 C3:J13 A14 C14:J14 A15:A25 C15:J25 A26 C26:J26 C27:J3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"/>
  <sheetViews>
    <sheetView workbookViewId="0">
      <selection activeCell="H29" sqref="H29"/>
    </sheetView>
  </sheetViews>
  <sheetFormatPr baseColWidth="10" defaultRowHeight="15" x14ac:dyDescent="0.2"/>
  <cols>
    <col min="1" max="2" width="6.83203125" customWidth="1"/>
    <col min="3" max="4" width="10.83203125" customWidth="1"/>
    <col min="5" max="5" width="6.83203125" customWidth="1"/>
    <col min="6" max="6" width="8.83203125" customWidth="1"/>
    <col min="7" max="8" width="10.83203125" customWidth="1"/>
    <col min="9" max="10" width="15.83203125" customWidth="1"/>
  </cols>
  <sheetData>
    <row r="1" spans="1:10" x14ac:dyDescent="0.2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2">
      <c r="A2" s="4">
        <v>1</v>
      </c>
      <c r="B2" s="7" t="s">
        <v>1015</v>
      </c>
      <c r="C2" s="4" t="s">
        <v>10</v>
      </c>
      <c r="D2" s="6" t="s">
        <v>59</v>
      </c>
      <c r="E2" s="6" t="s">
        <v>34</v>
      </c>
      <c r="F2" s="6" t="s">
        <v>60</v>
      </c>
      <c r="G2" s="6" t="s">
        <v>56</v>
      </c>
      <c r="H2" s="6" t="s">
        <v>57</v>
      </c>
      <c r="I2" s="5" t="s">
        <v>58</v>
      </c>
      <c r="J2" s="6" t="s">
        <v>17</v>
      </c>
    </row>
    <row r="3" spans="1:10" x14ac:dyDescent="0.2">
      <c r="A3" s="4">
        <v>2</v>
      </c>
      <c r="B3" s="7" t="s">
        <v>1015</v>
      </c>
      <c r="C3" s="4" t="s">
        <v>150</v>
      </c>
      <c r="D3" s="6" t="s">
        <v>151</v>
      </c>
      <c r="E3" s="6" t="s">
        <v>12</v>
      </c>
      <c r="F3" s="6" t="s">
        <v>60</v>
      </c>
      <c r="G3" s="6" t="s">
        <v>152</v>
      </c>
      <c r="H3" s="6" t="s">
        <v>153</v>
      </c>
      <c r="I3" s="5" t="s">
        <v>154</v>
      </c>
      <c r="J3" s="6" t="s">
        <v>17</v>
      </c>
    </row>
    <row r="4" spans="1:10" x14ac:dyDescent="0.2">
      <c r="A4" s="4">
        <v>3</v>
      </c>
      <c r="B4" s="7" t="s">
        <v>1015</v>
      </c>
      <c r="C4" s="4" t="s">
        <v>232</v>
      </c>
      <c r="D4" s="6" t="s">
        <v>233</v>
      </c>
      <c r="E4" s="6" t="s">
        <v>12</v>
      </c>
      <c r="F4" s="6" t="s">
        <v>60</v>
      </c>
      <c r="G4" s="6" t="s">
        <v>98</v>
      </c>
      <c r="H4" s="6" t="s">
        <v>234</v>
      </c>
      <c r="I4" s="5" t="s">
        <v>235</v>
      </c>
      <c r="J4" s="6" t="s">
        <v>17</v>
      </c>
    </row>
    <row r="5" spans="1:10" x14ac:dyDescent="0.2">
      <c r="A5" s="4">
        <v>4</v>
      </c>
      <c r="B5" s="7" t="s">
        <v>1015</v>
      </c>
      <c r="C5" s="4" t="s">
        <v>271</v>
      </c>
      <c r="D5" s="6" t="s">
        <v>272</v>
      </c>
      <c r="E5" s="6" t="s">
        <v>34</v>
      </c>
      <c r="F5" s="6" t="s">
        <v>60</v>
      </c>
      <c r="G5" s="6" t="s">
        <v>157</v>
      </c>
      <c r="H5" s="6" t="s">
        <v>273</v>
      </c>
      <c r="I5" s="5" t="s">
        <v>274</v>
      </c>
      <c r="J5" s="6" t="s">
        <v>17</v>
      </c>
    </row>
    <row r="6" spans="1:10" x14ac:dyDescent="0.2">
      <c r="A6" s="4">
        <v>5</v>
      </c>
      <c r="B6" s="7" t="s">
        <v>1015</v>
      </c>
      <c r="C6" s="4" t="s">
        <v>280</v>
      </c>
      <c r="D6" s="6" t="s">
        <v>281</v>
      </c>
      <c r="E6" s="6" t="s">
        <v>34</v>
      </c>
      <c r="F6" s="6" t="s">
        <v>60</v>
      </c>
      <c r="G6" s="6" t="s">
        <v>157</v>
      </c>
      <c r="H6" s="6" t="s">
        <v>282</v>
      </c>
      <c r="I6" s="5" t="s">
        <v>283</v>
      </c>
      <c r="J6" s="6" t="s">
        <v>284</v>
      </c>
    </row>
    <row r="7" spans="1:10" x14ac:dyDescent="0.2">
      <c r="A7" s="4">
        <v>6</v>
      </c>
      <c r="B7" s="7" t="s">
        <v>1015</v>
      </c>
      <c r="C7" s="4" t="s">
        <v>391</v>
      </c>
      <c r="D7" s="6" t="s">
        <v>392</v>
      </c>
      <c r="E7" s="6" t="s">
        <v>34</v>
      </c>
      <c r="F7" s="6" t="s">
        <v>60</v>
      </c>
      <c r="G7" s="6" t="s">
        <v>88</v>
      </c>
      <c r="H7" s="6" t="s">
        <v>393</v>
      </c>
      <c r="I7" s="5" t="s">
        <v>394</v>
      </c>
      <c r="J7" s="6" t="s">
        <v>17</v>
      </c>
    </row>
    <row r="8" spans="1:10" x14ac:dyDescent="0.2">
      <c r="A8" s="4">
        <v>7</v>
      </c>
      <c r="B8" s="7" t="s">
        <v>1015</v>
      </c>
      <c r="C8" s="4" t="s">
        <v>514</v>
      </c>
      <c r="D8" s="6" t="s">
        <v>515</v>
      </c>
      <c r="E8" s="6" t="s">
        <v>12</v>
      </c>
      <c r="F8" s="6" t="s">
        <v>60</v>
      </c>
      <c r="G8" s="6" t="s">
        <v>173</v>
      </c>
      <c r="H8" s="6" t="s">
        <v>512</v>
      </c>
      <c r="I8" s="5" t="s">
        <v>513</v>
      </c>
      <c r="J8" s="6" t="s">
        <v>17</v>
      </c>
    </row>
    <row r="9" spans="1:10" x14ac:dyDescent="0.2">
      <c r="A9" s="4">
        <v>8</v>
      </c>
      <c r="B9" s="7" t="s">
        <v>1015</v>
      </c>
      <c r="C9" s="4" t="s">
        <v>516</v>
      </c>
      <c r="D9" s="6" t="s">
        <v>517</v>
      </c>
      <c r="E9" s="6" t="s">
        <v>34</v>
      </c>
      <c r="F9" s="6" t="s">
        <v>60</v>
      </c>
      <c r="G9" s="6" t="s">
        <v>518</v>
      </c>
      <c r="H9" s="6" t="s">
        <v>512</v>
      </c>
      <c r="I9" s="5" t="s">
        <v>513</v>
      </c>
      <c r="J9" s="6" t="s">
        <v>17</v>
      </c>
    </row>
    <row r="10" spans="1:10" x14ac:dyDescent="0.2">
      <c r="A10" s="4">
        <v>9</v>
      </c>
      <c r="B10" s="7" t="s">
        <v>1015</v>
      </c>
      <c r="C10" s="4" t="s">
        <v>528</v>
      </c>
      <c r="D10" s="6" t="s">
        <v>529</v>
      </c>
      <c r="E10" s="6" t="s">
        <v>34</v>
      </c>
      <c r="F10" s="6" t="s">
        <v>60</v>
      </c>
      <c r="G10" s="6" t="s">
        <v>20</v>
      </c>
      <c r="H10" s="6" t="s">
        <v>526</v>
      </c>
      <c r="I10" s="5" t="s">
        <v>527</v>
      </c>
      <c r="J10" s="6" t="s">
        <v>17</v>
      </c>
    </row>
    <row r="11" spans="1:10" x14ac:dyDescent="0.2">
      <c r="A11" s="4">
        <v>10</v>
      </c>
      <c r="B11" s="7" t="s">
        <v>1015</v>
      </c>
      <c r="C11" s="4" t="s">
        <v>589</v>
      </c>
      <c r="D11" s="6" t="s">
        <v>590</v>
      </c>
      <c r="E11" s="6" t="s">
        <v>34</v>
      </c>
      <c r="F11" s="6" t="s">
        <v>60</v>
      </c>
      <c r="G11" s="6" t="s">
        <v>67</v>
      </c>
      <c r="H11" s="6" t="s">
        <v>591</v>
      </c>
      <c r="I11" s="5" t="s">
        <v>592</v>
      </c>
      <c r="J11" s="6" t="s">
        <v>17</v>
      </c>
    </row>
    <row r="12" spans="1:10" x14ac:dyDescent="0.2">
      <c r="A12" s="4">
        <v>11</v>
      </c>
      <c r="B12" s="7" t="s">
        <v>1016</v>
      </c>
      <c r="C12" s="4" t="s">
        <v>601</v>
      </c>
      <c r="D12" s="6" t="s">
        <v>602</v>
      </c>
      <c r="E12" s="6" t="s">
        <v>34</v>
      </c>
      <c r="F12" s="6" t="s">
        <v>60</v>
      </c>
      <c r="G12" s="6" t="s">
        <v>131</v>
      </c>
      <c r="H12" s="6" t="s">
        <v>603</v>
      </c>
      <c r="I12" s="5" t="s">
        <v>604</v>
      </c>
      <c r="J12" s="6" t="s">
        <v>17</v>
      </c>
    </row>
    <row r="13" spans="1:10" x14ac:dyDescent="0.2">
      <c r="A13" s="4">
        <v>12</v>
      </c>
      <c r="B13" s="7" t="s">
        <v>1016</v>
      </c>
      <c r="C13" s="4" t="s">
        <v>665</v>
      </c>
      <c r="D13" s="6" t="s">
        <v>666</v>
      </c>
      <c r="E13" s="6" t="s">
        <v>12</v>
      </c>
      <c r="F13" s="6" t="s">
        <v>60</v>
      </c>
      <c r="G13" s="6" t="s">
        <v>131</v>
      </c>
      <c r="H13" s="6" t="s">
        <v>663</v>
      </c>
      <c r="I13" s="5" t="s">
        <v>667</v>
      </c>
      <c r="J13" s="6" t="s">
        <v>17</v>
      </c>
    </row>
    <row r="14" spans="1:10" x14ac:dyDescent="0.2">
      <c r="A14" s="4">
        <v>13</v>
      </c>
      <c r="B14" s="7" t="s">
        <v>1016</v>
      </c>
      <c r="C14" s="4" t="s">
        <v>679</v>
      </c>
      <c r="D14" s="6" t="s">
        <v>680</v>
      </c>
      <c r="E14" s="6" t="s">
        <v>34</v>
      </c>
      <c r="F14" s="6" t="s">
        <v>60</v>
      </c>
      <c r="G14" s="6" t="s">
        <v>681</v>
      </c>
      <c r="H14" s="6" t="s">
        <v>682</v>
      </c>
      <c r="I14" s="5" t="s">
        <v>683</v>
      </c>
      <c r="J14" s="6" t="s">
        <v>17</v>
      </c>
    </row>
    <row r="15" spans="1:10" x14ac:dyDescent="0.2">
      <c r="A15" s="4">
        <v>14</v>
      </c>
      <c r="B15" s="7" t="s">
        <v>1016</v>
      </c>
      <c r="C15" s="4" t="s">
        <v>698</v>
      </c>
      <c r="D15" s="6" t="s">
        <v>699</v>
      </c>
      <c r="E15" s="6" t="s">
        <v>34</v>
      </c>
      <c r="F15" s="6" t="s">
        <v>60</v>
      </c>
      <c r="G15" s="6" t="s">
        <v>700</v>
      </c>
      <c r="H15" s="6" t="s">
        <v>701</v>
      </c>
      <c r="I15" s="5" t="s">
        <v>702</v>
      </c>
      <c r="J15" s="6" t="s">
        <v>17</v>
      </c>
    </row>
    <row r="16" spans="1:10" x14ac:dyDescent="0.2">
      <c r="A16" s="4">
        <v>15</v>
      </c>
      <c r="B16" s="7" t="s">
        <v>1016</v>
      </c>
      <c r="C16" s="4" t="s">
        <v>761</v>
      </c>
      <c r="D16" s="6" t="s">
        <v>762</v>
      </c>
      <c r="E16" s="6" t="s">
        <v>34</v>
      </c>
      <c r="F16" s="6" t="s">
        <v>60</v>
      </c>
      <c r="G16" s="6" t="s">
        <v>763</v>
      </c>
      <c r="H16" s="6" t="s">
        <v>764</v>
      </c>
      <c r="I16" s="5" t="s">
        <v>765</v>
      </c>
      <c r="J16" s="6" t="s">
        <v>17</v>
      </c>
    </row>
    <row r="17" spans="1:10" x14ac:dyDescent="0.2">
      <c r="A17" s="4">
        <v>16</v>
      </c>
      <c r="B17" s="7" t="s">
        <v>1016</v>
      </c>
      <c r="C17" s="4" t="s">
        <v>782</v>
      </c>
      <c r="D17" s="6" t="s">
        <v>783</v>
      </c>
      <c r="E17" s="6" t="s">
        <v>12</v>
      </c>
      <c r="F17" s="6" t="s">
        <v>60</v>
      </c>
      <c r="G17" s="6" t="s">
        <v>779</v>
      </c>
      <c r="H17" s="6" t="s">
        <v>780</v>
      </c>
      <c r="I17" s="5" t="s">
        <v>781</v>
      </c>
      <c r="J17" s="6" t="s">
        <v>17</v>
      </c>
    </row>
    <row r="18" spans="1:10" x14ac:dyDescent="0.2">
      <c r="A18" s="4">
        <v>17</v>
      </c>
      <c r="B18" s="7" t="s">
        <v>1016</v>
      </c>
      <c r="C18" s="4" t="s">
        <v>832</v>
      </c>
      <c r="D18" s="6" t="s">
        <v>833</v>
      </c>
      <c r="E18" s="6" t="s">
        <v>34</v>
      </c>
      <c r="F18" s="6" t="s">
        <v>60</v>
      </c>
      <c r="G18" s="6" t="s">
        <v>763</v>
      </c>
      <c r="H18" s="6" t="s">
        <v>834</v>
      </c>
      <c r="I18" s="5" t="s">
        <v>835</v>
      </c>
      <c r="J18" s="6" t="s">
        <v>17</v>
      </c>
    </row>
    <row r="19" spans="1:10" x14ac:dyDescent="0.2">
      <c r="A19" s="4">
        <v>18</v>
      </c>
      <c r="B19" s="7" t="s">
        <v>1016</v>
      </c>
      <c r="C19" s="4" t="s">
        <v>954</v>
      </c>
      <c r="D19" s="6" t="s">
        <v>955</v>
      </c>
      <c r="E19" s="6" t="s">
        <v>12</v>
      </c>
      <c r="F19" s="6" t="s">
        <v>60</v>
      </c>
      <c r="G19" s="6" t="s">
        <v>20</v>
      </c>
      <c r="H19" s="6" t="s">
        <v>956</v>
      </c>
      <c r="I19" s="5" t="s">
        <v>957</v>
      </c>
      <c r="J19" s="6" t="s">
        <v>17</v>
      </c>
    </row>
    <row r="20" spans="1:10" x14ac:dyDescent="0.2">
      <c r="A20" s="4">
        <v>19</v>
      </c>
      <c r="B20" s="7" t="s">
        <v>1016</v>
      </c>
      <c r="C20" s="4" t="s">
        <v>964</v>
      </c>
      <c r="D20" s="6" t="s">
        <v>965</v>
      </c>
      <c r="E20" s="6" t="s">
        <v>34</v>
      </c>
      <c r="F20" s="6" t="s">
        <v>60</v>
      </c>
      <c r="G20" s="6" t="s">
        <v>98</v>
      </c>
      <c r="H20" s="6" t="s">
        <v>962</v>
      </c>
      <c r="I20" s="5" t="s">
        <v>963</v>
      </c>
      <c r="J20" s="6" t="s">
        <v>17</v>
      </c>
    </row>
  </sheetData>
  <phoneticPr fontId="2" type="noConversion"/>
  <pageMargins left="0.7" right="0.7" top="0.75" bottom="0.75" header="0.3" footer="0.3"/>
  <pageSetup paperSize="9" orientation="portrait" horizontalDpi="0" verticalDpi="0"/>
  <ignoredErrors>
    <ignoredError sqref="A1:J1 A12:A20 A2 C2:J2 A3:A11 C3:J11 C12:J2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6"/>
  <sheetViews>
    <sheetView workbookViewId="0">
      <selection activeCell="E21" sqref="E21"/>
    </sheetView>
  </sheetViews>
  <sheetFormatPr baseColWidth="10" defaultRowHeight="15" x14ac:dyDescent="0.2"/>
  <cols>
    <col min="1" max="2" width="6.83203125" customWidth="1"/>
    <col min="3" max="3" width="10.83203125" customWidth="1"/>
    <col min="4" max="4" width="15.83203125" customWidth="1"/>
    <col min="5" max="5" width="6.83203125" customWidth="1"/>
    <col min="6" max="6" width="8.83203125" customWidth="1"/>
    <col min="7" max="7" width="17.83203125" customWidth="1"/>
    <col min="8" max="8" width="10.83203125" customWidth="1"/>
    <col min="9" max="9" width="15.83203125" customWidth="1"/>
    <col min="10" max="10" width="6.83203125" customWidth="1"/>
  </cols>
  <sheetData>
    <row r="1" spans="1:10" x14ac:dyDescent="0.2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2">
      <c r="A2" s="4">
        <v>1</v>
      </c>
      <c r="B2" s="7" t="s">
        <v>1017</v>
      </c>
      <c r="C2" s="4" t="s">
        <v>10</v>
      </c>
      <c r="D2" s="6" t="s">
        <v>65</v>
      </c>
      <c r="E2" s="6" t="s">
        <v>12</v>
      </c>
      <c r="F2" s="6" t="s">
        <v>66</v>
      </c>
      <c r="G2" s="6" t="s">
        <v>67</v>
      </c>
      <c r="H2" s="6" t="s">
        <v>68</v>
      </c>
      <c r="I2" s="5" t="s">
        <v>69</v>
      </c>
      <c r="J2" s="6" t="s">
        <v>17</v>
      </c>
    </row>
    <row r="3" spans="1:10" x14ac:dyDescent="0.2">
      <c r="A3" s="4">
        <v>2</v>
      </c>
      <c r="B3" s="7" t="s">
        <v>1017</v>
      </c>
      <c r="C3" s="4" t="s">
        <v>129</v>
      </c>
      <c r="D3" s="6" t="s">
        <v>130</v>
      </c>
      <c r="E3" s="6" t="s">
        <v>12</v>
      </c>
      <c r="F3" s="6" t="s">
        <v>66</v>
      </c>
      <c r="G3" s="6" t="s">
        <v>131</v>
      </c>
      <c r="H3" s="6" t="s">
        <v>132</v>
      </c>
      <c r="I3" s="5" t="s">
        <v>133</v>
      </c>
      <c r="J3" s="6" t="s">
        <v>17</v>
      </c>
    </row>
    <row r="4" spans="1:10" x14ac:dyDescent="0.2">
      <c r="A4" s="4">
        <v>3</v>
      </c>
      <c r="B4" s="7" t="s">
        <v>1017</v>
      </c>
      <c r="C4" s="4" t="s">
        <v>171</v>
      </c>
      <c r="D4" s="6" t="s">
        <v>172</v>
      </c>
      <c r="E4" s="6" t="s">
        <v>12</v>
      </c>
      <c r="F4" s="6" t="s">
        <v>66</v>
      </c>
      <c r="G4" s="6" t="s">
        <v>173</v>
      </c>
      <c r="H4" s="6" t="s">
        <v>169</v>
      </c>
      <c r="I4" s="5" t="s">
        <v>170</v>
      </c>
      <c r="J4" s="6" t="s">
        <v>17</v>
      </c>
    </row>
    <row r="5" spans="1:10" x14ac:dyDescent="0.2">
      <c r="A5" s="4">
        <v>4</v>
      </c>
      <c r="B5" s="7" t="s">
        <v>1017</v>
      </c>
      <c r="C5" s="4" t="s">
        <v>305</v>
      </c>
      <c r="D5" s="6" t="s">
        <v>306</v>
      </c>
      <c r="E5" s="6" t="s">
        <v>34</v>
      </c>
      <c r="F5" s="6" t="s">
        <v>66</v>
      </c>
      <c r="G5" s="6" t="s">
        <v>98</v>
      </c>
      <c r="H5" s="6" t="s">
        <v>307</v>
      </c>
      <c r="I5" s="5" t="s">
        <v>308</v>
      </c>
      <c r="J5" s="6" t="s">
        <v>17</v>
      </c>
    </row>
    <row r="6" spans="1:10" x14ac:dyDescent="0.2">
      <c r="A6" s="4">
        <v>5</v>
      </c>
      <c r="B6" s="7" t="s">
        <v>1017</v>
      </c>
      <c r="C6" s="4" t="s">
        <v>337</v>
      </c>
      <c r="D6" s="6" t="s">
        <v>338</v>
      </c>
      <c r="E6" s="6" t="s">
        <v>34</v>
      </c>
      <c r="F6" s="6" t="s">
        <v>66</v>
      </c>
      <c r="G6" s="6" t="s">
        <v>98</v>
      </c>
      <c r="H6" s="6" t="s">
        <v>339</v>
      </c>
      <c r="I6" s="5" t="s">
        <v>340</v>
      </c>
      <c r="J6" s="6" t="s">
        <v>17</v>
      </c>
    </row>
    <row r="7" spans="1:10" x14ac:dyDescent="0.2">
      <c r="A7" s="4">
        <v>6</v>
      </c>
      <c r="B7" s="7" t="s">
        <v>1017</v>
      </c>
      <c r="C7" s="4" t="s">
        <v>364</v>
      </c>
      <c r="D7" s="6" t="s">
        <v>365</v>
      </c>
      <c r="E7" s="6" t="s">
        <v>12</v>
      </c>
      <c r="F7" s="6" t="s">
        <v>66</v>
      </c>
      <c r="G7" s="6" t="s">
        <v>88</v>
      </c>
      <c r="H7" s="6" t="s">
        <v>366</v>
      </c>
      <c r="I7" s="5" t="s">
        <v>367</v>
      </c>
      <c r="J7" s="6" t="s">
        <v>17</v>
      </c>
    </row>
    <row r="8" spans="1:10" x14ac:dyDescent="0.2">
      <c r="A8" s="4">
        <v>7</v>
      </c>
      <c r="B8" s="7" t="s">
        <v>1017</v>
      </c>
      <c r="C8" s="4" t="s">
        <v>432</v>
      </c>
      <c r="D8" s="6" t="s">
        <v>433</v>
      </c>
      <c r="E8" s="6" t="s">
        <v>12</v>
      </c>
      <c r="F8" s="6" t="s">
        <v>66</v>
      </c>
      <c r="G8" s="6" t="s">
        <v>67</v>
      </c>
      <c r="H8" s="6" t="s">
        <v>434</v>
      </c>
      <c r="I8" s="5" t="s">
        <v>435</v>
      </c>
      <c r="J8" s="6" t="s">
        <v>17</v>
      </c>
    </row>
    <row r="9" spans="1:10" x14ac:dyDescent="0.2">
      <c r="A9" s="4">
        <v>8</v>
      </c>
      <c r="B9" s="7" t="s">
        <v>1018</v>
      </c>
      <c r="C9" s="4" t="s">
        <v>651</v>
      </c>
      <c r="D9" s="6" t="s">
        <v>652</v>
      </c>
      <c r="E9" s="6" t="s">
        <v>12</v>
      </c>
      <c r="F9" s="6" t="s">
        <v>66</v>
      </c>
      <c r="G9" s="6" t="s">
        <v>653</v>
      </c>
      <c r="H9" s="6" t="s">
        <v>654</v>
      </c>
      <c r="I9" s="5" t="s">
        <v>655</v>
      </c>
      <c r="J9" s="6" t="s">
        <v>17</v>
      </c>
    </row>
    <row r="10" spans="1:10" x14ac:dyDescent="0.2">
      <c r="A10" s="4">
        <v>9</v>
      </c>
      <c r="B10" s="7" t="s">
        <v>1018</v>
      </c>
      <c r="C10" s="4" t="s">
        <v>728</v>
      </c>
      <c r="D10" s="6" t="s">
        <v>729</v>
      </c>
      <c r="E10" s="6" t="s">
        <v>12</v>
      </c>
      <c r="F10" s="6" t="s">
        <v>66</v>
      </c>
      <c r="G10" s="6" t="s">
        <v>98</v>
      </c>
      <c r="H10" s="6" t="s">
        <v>730</v>
      </c>
      <c r="I10" s="5" t="s">
        <v>731</v>
      </c>
      <c r="J10" s="6" t="s">
        <v>17</v>
      </c>
    </row>
    <row r="11" spans="1:10" x14ac:dyDescent="0.2">
      <c r="A11" s="4">
        <v>10</v>
      </c>
      <c r="B11" s="7" t="s">
        <v>1018</v>
      </c>
      <c r="C11" s="4" t="s">
        <v>734</v>
      </c>
      <c r="D11" s="6" t="s">
        <v>735</v>
      </c>
      <c r="E11" s="6" t="s">
        <v>12</v>
      </c>
      <c r="F11" s="6" t="s">
        <v>66</v>
      </c>
      <c r="G11" s="6" t="s">
        <v>98</v>
      </c>
      <c r="H11" s="6" t="s">
        <v>736</v>
      </c>
      <c r="I11" s="5" t="s">
        <v>737</v>
      </c>
      <c r="J11" s="6" t="s">
        <v>17</v>
      </c>
    </row>
    <row r="12" spans="1:10" x14ac:dyDescent="0.2">
      <c r="A12" s="4">
        <v>11</v>
      </c>
      <c r="B12" s="7" t="s">
        <v>1018</v>
      </c>
      <c r="C12" s="4" t="s">
        <v>777</v>
      </c>
      <c r="D12" s="6" t="s">
        <v>778</v>
      </c>
      <c r="E12" s="6" t="s">
        <v>34</v>
      </c>
      <c r="F12" s="6" t="s">
        <v>66</v>
      </c>
      <c r="G12" s="6" t="s">
        <v>779</v>
      </c>
      <c r="H12" s="6" t="s">
        <v>780</v>
      </c>
      <c r="I12" s="5" t="s">
        <v>781</v>
      </c>
      <c r="J12" s="6" t="s">
        <v>17</v>
      </c>
    </row>
    <row r="13" spans="1:10" x14ac:dyDescent="0.2">
      <c r="A13" s="4">
        <v>12</v>
      </c>
      <c r="B13" s="7" t="s">
        <v>1018</v>
      </c>
      <c r="C13" s="4" t="s">
        <v>811</v>
      </c>
      <c r="D13" s="6" t="s">
        <v>812</v>
      </c>
      <c r="E13" s="6" t="s">
        <v>12</v>
      </c>
      <c r="F13" s="6" t="s">
        <v>66</v>
      </c>
      <c r="G13" s="6" t="s">
        <v>813</v>
      </c>
      <c r="H13" s="6" t="s">
        <v>814</v>
      </c>
      <c r="I13" s="5" t="s">
        <v>815</v>
      </c>
      <c r="J13" s="6" t="s">
        <v>17</v>
      </c>
    </row>
    <row r="14" spans="1:10" x14ac:dyDescent="0.2">
      <c r="A14" s="4">
        <v>13</v>
      </c>
      <c r="B14" s="7" t="s">
        <v>1018</v>
      </c>
      <c r="C14" s="4" t="s">
        <v>890</v>
      </c>
      <c r="D14" s="6" t="s">
        <v>891</v>
      </c>
      <c r="E14" s="6" t="s">
        <v>34</v>
      </c>
      <c r="F14" s="6" t="s">
        <v>66</v>
      </c>
      <c r="G14" s="6" t="s">
        <v>212</v>
      </c>
      <c r="H14" s="6" t="s">
        <v>892</v>
      </c>
      <c r="I14" s="5" t="s">
        <v>893</v>
      </c>
      <c r="J14" s="6" t="s">
        <v>17</v>
      </c>
    </row>
    <row r="15" spans="1:10" x14ac:dyDescent="0.2">
      <c r="A15" s="4">
        <v>14</v>
      </c>
      <c r="B15" s="7" t="s">
        <v>1018</v>
      </c>
      <c r="C15" s="4" t="s">
        <v>934</v>
      </c>
      <c r="D15" s="6" t="s">
        <v>935</v>
      </c>
      <c r="E15" s="6" t="s">
        <v>12</v>
      </c>
      <c r="F15" s="6" t="s">
        <v>66</v>
      </c>
      <c r="G15" s="6" t="s">
        <v>98</v>
      </c>
      <c r="H15" s="6" t="s">
        <v>936</v>
      </c>
      <c r="I15" s="5" t="s">
        <v>937</v>
      </c>
      <c r="J15" s="6" t="s">
        <v>17</v>
      </c>
    </row>
    <row r="16" spans="1:10" x14ac:dyDescent="0.2">
      <c r="A16" s="4">
        <v>15</v>
      </c>
      <c r="B16" s="7" t="s">
        <v>1018</v>
      </c>
      <c r="C16" s="4" t="s">
        <v>950</v>
      </c>
      <c r="D16" s="6" t="s">
        <v>951</v>
      </c>
      <c r="E16" s="6" t="s">
        <v>34</v>
      </c>
      <c r="F16" s="6" t="s">
        <v>66</v>
      </c>
      <c r="G16" s="6" t="s">
        <v>98</v>
      </c>
      <c r="H16" s="6" t="s">
        <v>952</v>
      </c>
      <c r="I16" s="5" t="s">
        <v>953</v>
      </c>
      <c r="J16" s="6" t="s">
        <v>17</v>
      </c>
    </row>
  </sheetData>
  <phoneticPr fontId="2" type="noConversion"/>
  <pageMargins left="0.7" right="0.7" top="0.75" bottom="0.75" header="0.3" footer="0.3"/>
  <pageSetup paperSize="9" orientation="portrait" horizontalDpi="0" verticalDpi="0"/>
  <ignoredErrors>
    <ignoredError sqref="A1:J1 A3:A16 A2 C2:J2 C3:J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總表</vt:lpstr>
      <vt:lpstr>學齡前</vt:lpstr>
      <vt:lpstr>一年級</vt:lpstr>
      <vt:lpstr>二年級</vt:lpstr>
      <vt:lpstr>三年級</vt:lpstr>
      <vt:lpstr>四年級</vt:lpstr>
      <vt:lpstr>五年級</vt:lpstr>
      <vt:lpstr>六年級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舒喬 楊</cp:lastModifiedBy>
  <dcterms:modified xsi:type="dcterms:W3CDTF">2025-11-25T19:21:50Z</dcterms:modified>
</cp:coreProperties>
</file>